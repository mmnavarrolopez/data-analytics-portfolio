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mnav\Documents\Data_Analytics\data-analytics-portfolio\01_excel\01_ecommerce_sales_analysis\"/>
    </mc:Choice>
  </mc:AlternateContent>
  <xr:revisionPtr revIDLastSave="0" documentId="13_ncr:1_{F5B8DD94-DDD7-4716-AFFF-22E77DEAF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8" r:id="rId1"/>
    <sheet name="Guia_del_proyecto" sheetId="1" r:id="rId2"/>
    <sheet name="Ventas_Raw" sheetId="2" r:id="rId3"/>
    <sheet name="Ventas_Limpias" sheetId="3" r:id="rId4"/>
    <sheet name="Pivot_Categoria" sheetId="4" r:id="rId5"/>
    <sheet name="Pivot_Mensual" sheetId="5" r:id="rId6"/>
    <sheet name="Pivot_Vendedor" sheetId="6" r:id="rId7"/>
    <sheet name="Pivot_Ciudad" sheetId="7" r:id="rId8"/>
  </sheets>
  <definedNames>
    <definedName name="SegmentaciónDeDatos_Categoría">#N/A</definedName>
    <definedName name="SegmentaciónDeDatos_Ciudad">#N/A</definedName>
  </definedNames>
  <calcPr calcId="191029"/>
  <pivotCaches>
    <pivotCache cacheId="1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3" i="8" l="1"/>
  <c r="E3" i="8"/>
  <c r="B3" i="8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</calcChain>
</file>

<file path=xl/sharedStrings.xml><?xml version="1.0" encoding="utf-8"?>
<sst xmlns="http://schemas.openxmlformats.org/spreadsheetml/2006/main" count="926" uniqueCount="137">
  <si>
    <t>Proyecto 01 — Análisis de ventas de e-commerce</t>
  </si>
  <si>
    <t>Objetivo</t>
  </si>
  <si>
    <t>Preparar y analizar datos de ventas para responder preguntas de negocio en Excel.</t>
  </si>
  <si>
    <t>Preguntas de negocio</t>
  </si>
  <si>
    <t>1. ¿Cuál fue la facturación total y el número de pedidos?</t>
  </si>
  <si>
    <t>2. ¿Qué categoría y producto generaron mayores ingresos?</t>
  </si>
  <si>
    <t>3. ¿Cómo evolucionaron las ventas por mes?</t>
  </si>
  <si>
    <t>4. ¿Qué ciudad y región vendieron más?</t>
  </si>
  <si>
    <t>5. ¿Qué vendedores lograron mayor facturación?</t>
  </si>
  <si>
    <t>6. ¿Qué recomendaciones darías al negocio a partir de los datos?</t>
  </si>
  <si>
    <t>7. ¿Qué problemas de calidad de datos identificas antes de analizar?</t>
  </si>
  <si>
    <t>Herramientas a practicar</t>
  </si>
  <si>
    <t>Limpieza de datos</t>
  </si>
  <si>
    <t>Tablas de Excel</t>
  </si>
  <si>
    <t>Fórmulas: SUMIFS, COUNTIFS, IFERROR y XLOOKUP (cuando corresponda)</t>
  </si>
  <si>
    <t>Tablas dinámicas y segmentadores</t>
  </si>
  <si>
    <t>Dashboard con KPIs y gráficos</t>
  </si>
  <si>
    <t>ID_Pedido</t>
  </si>
  <si>
    <t>Fecha</t>
  </si>
  <si>
    <t>Región</t>
  </si>
  <si>
    <t>Ciudad</t>
  </si>
  <si>
    <t>Categoría</t>
  </si>
  <si>
    <t>Producto</t>
  </si>
  <si>
    <t>Cliente</t>
  </si>
  <si>
    <t>Vendedor</t>
  </si>
  <si>
    <t>Cantidad</t>
  </si>
  <si>
    <t>Precio_Unitario</t>
  </si>
  <si>
    <t>Descuento</t>
  </si>
  <si>
    <t>PED-1001</t>
  </si>
  <si>
    <t>Occidente</t>
  </si>
  <si>
    <t>Santa Cruz</t>
  </si>
  <si>
    <t>Tecnología</t>
  </si>
  <si>
    <t>Teclado mecánico</t>
  </si>
  <si>
    <t>Andrés Rojas</t>
  </si>
  <si>
    <t>Andrea</t>
  </si>
  <si>
    <t>PED-1002</t>
  </si>
  <si>
    <t>La Paz</t>
  </si>
  <si>
    <t>Hogar</t>
  </si>
  <si>
    <t>Lámpara LED</t>
  </si>
  <si>
    <t>Elena Quispe</t>
  </si>
  <si>
    <t>Bruno</t>
  </si>
  <si>
    <t>PED-1003</t>
  </si>
  <si>
    <t>Centro</t>
  </si>
  <si>
    <t>Cochabamba</t>
  </si>
  <si>
    <t>Botella térmica</t>
  </si>
  <si>
    <t>Lucía Méndez</t>
  </si>
  <si>
    <t>Carla</t>
  </si>
  <si>
    <t>PED-1004</t>
  </si>
  <si>
    <t>Sur</t>
  </si>
  <si>
    <t>Sucre</t>
  </si>
  <si>
    <t>Oficina</t>
  </si>
  <si>
    <t>Mochila para laptop</t>
  </si>
  <si>
    <t>Ricardo Soto</t>
  </si>
  <si>
    <t>Diego</t>
  </si>
  <si>
    <t>PED-1005</t>
  </si>
  <si>
    <t>Tarija</t>
  </si>
  <si>
    <t>Auriculares inalámbricos</t>
  </si>
  <si>
    <t>Diego Vargas</t>
  </si>
  <si>
    <t>PED-1006</t>
  </si>
  <si>
    <t>Mouse ergonómico</t>
  </si>
  <si>
    <t>Gabriel Torres</t>
  </si>
  <si>
    <t>PED-1007</t>
  </si>
  <si>
    <t>Organizador modular</t>
  </si>
  <si>
    <t>Paola Chávez</t>
  </si>
  <si>
    <t>PED-1008</t>
  </si>
  <si>
    <t>Cuaderno ejecutivo</t>
  </si>
  <si>
    <t>Camila Flores</t>
  </si>
  <si>
    <t>PED-1009</t>
  </si>
  <si>
    <t>Soporte para monitor</t>
  </si>
  <si>
    <t>Fernanda Lima</t>
  </si>
  <si>
    <t>PED-1010</t>
  </si>
  <si>
    <t>Martín Salazar</t>
  </si>
  <si>
    <t>PED-1011</t>
  </si>
  <si>
    <t>PED-1012</t>
  </si>
  <si>
    <t>PED-1013</t>
  </si>
  <si>
    <t>PED-1014</t>
  </si>
  <si>
    <t>PED-1015</t>
  </si>
  <si>
    <t>PED-1016</t>
  </si>
  <si>
    <t>PED-1017</t>
  </si>
  <si>
    <t>PED-1018</t>
  </si>
  <si>
    <t>PED-1019</t>
  </si>
  <si>
    <t>Tecnologia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</si>
  <si>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</si>
  <si>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</si>
  <si>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</si>
  <si>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</si>
  <si>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</si>
  <si>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</si>
  <si>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</si>
  <si>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</si>
  <si>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</si>
  <si>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</si>
  <si>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</si>
  <si>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</si>
  <si>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</si>
  <si>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PED-1033</t>
  </si>
  <si>
    <t>PED-1034</t>
  </si>
  <si>
    <t>PED-1035</t>
  </si>
  <si>
    <t>PED-1036</t>
  </si>
  <si>
    <t>PED-1037</t>
  </si>
  <si>
    <t>PED-1038</t>
  </si>
  <si>
    <t>PED-1039</t>
  </si>
  <si>
    <t>PED-1040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</si>
  <si>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</si>
  <si>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</si>
  <si>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</si>
  <si>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</si>
  <si>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</si>
  <si>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</si>
  <si>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</si>
  <si>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</si>
  <si>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</si>
  <si>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</si>
  <si>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</si>
  <si>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</si>
  <si>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</si>
  <si>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</si>
  <si>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</si>
  <si>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</si>
  <si>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</si>
  <si>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</si>
  <si>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</si>
  <si>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</si>
  <si>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Importe_Neto</t>
  </si>
  <si>
    <t>Etiquetas de fila</t>
  </si>
  <si>
    <t>Total general</t>
  </si>
  <si>
    <t>Suma de Importe_Neto</t>
  </si>
  <si>
    <t>ene</t>
  </si>
  <si>
    <t>feb</t>
  </si>
  <si>
    <t>mar</t>
  </si>
  <si>
    <t>abr</t>
  </si>
  <si>
    <t>may</t>
  </si>
  <si>
    <t>jun</t>
  </si>
  <si>
    <t>Dashboard de ventas e-commerce</t>
  </si>
  <si>
    <t>Ingresos netos</t>
  </si>
  <si>
    <t>Pedidos únicos</t>
  </si>
  <si>
    <t>Ticket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</si>
</sst>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Bs. &quot;#,##0.00"/>
    <numFmt numFmtId="170" formatCode="_-[$Bs-400A]* #,##0.00_-;\-[$Bs-400A]* #,##0.00_-;_-[$Bs-400A]* &quot;-&quot;??_-;_-@_-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0"/>
      <name val="Arial Unicode MS"/>
    </font>
    <font>
      <sz val="14"/>
      <name val="Carlito"/>
      <family val="2"/>
    </font>
    <font>
      <b/>
      <sz val="14"/>
      <name val="Carlito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0" fontId="2" fillId="3" borderId="1" xfId="0" applyFont="1" applyFill="1" applyBorder="1"/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170" fontId="3" fillId="0" borderId="0" xfId="0" applyNumberFormat="1" applyFon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5" fillId="4" borderId="0" xfId="0" applyFont="1" applyFill="1" applyAlignment="1">
      <alignment horizontal="center"/>
    </xf>
    <xf numFmtId="0" fontId="5" fillId="0" borderId="4" xfId="0" applyFont="1" applyBorder="1"/>
    <xf numFmtId="170" fontId="4" fillId="0" borderId="4" xfId="0" applyNumberFormat="1" applyFont="1" applyBorder="1"/>
    <xf numFmtId="1" fontId="4" fillId="0" borderId="4" xfId="0" applyNumberFormat="1" applyFont="1" applyBorder="1"/>
  </cellXfs>
  <cellStyles count="1">
    <cellStyle name="Normal" xfId="0" builtinId="0"/>
  </cellStyles>
  <dxfs count="1">
    <dxf>
      <numFmt numFmtId="170" formatCode="_-[$Bs-400A]* #,##0.00_-;\-[$Bs-400A]* #,##0.00_-;_-[$Bs-400A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[analisis_ventas_ecommerce.xlsx]Pivot_Categoria!TablaDinámica1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categoría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Pivot_Categoria!$B$3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Pivot_Categoria!$A$4:$A$7</c:f>
              <c:strCache>
                <c:ptCount val="3"/>
                <c:pt idx="0">
                  <c:v>Hogar</c:v>
                </c:pt>
                <c:pt idx="1">
                  <c:v>Oficina</c:v>
                </c:pt>
                <c:pt idx="2">
                  <c:v>Tecnología</c:v>
                </c:pt>
              </c:strCache>
            </c:strRef>
          </c:cat>
          <c:val>
            <c:numRef>
              <c:f>Pivot_Categoria!$B$4:$B$7</c:f>
              <c:numCache>
                <c:formatCode>_-[$Bs-400A]* #,##0.00_-;\-[$Bs-400A]* #,##0.00_-;_-[$Bs-400A]* "-"??_-;_-@_-</c:formatCode>
                <c:ptCount val="3"/>
                <c:pt idx="0">
                  <c:v>7245.5</c:v>
                </c:pt>
                <c:pt idx="1">
                  <c:v>10009</c:v>
                </c:pt>
                <c:pt idx="2">
                  <c:v>14815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A-4FBA-8254-13DCD0CBC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01088"/>
        <c:axId val="80278448"/>
      </c:barChart>
      <c:catAx>
        <c:axId val="713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0278448"/>
        <c:crosses val="autoZero"/>
        <c:auto val="1"/>
        <c:lblAlgn val="ctr"/>
        <c:lblOffset val="100"/>
        <c:noMultiLvlLbl val="0"/>
      </c:catAx>
      <c:valAx>
        <c:axId val="802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13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[analisis_ventas_ecommerce.xlsx]Pivot_Mensual!TablaDinámica2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Evolución mensual de ingresos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Pivot_Mensual!$B$1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Pivot_Mensual!$A$2:$A$8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Pivot_Mensual!$B$2:$B$8</c:f>
              <c:numCache>
                <c:formatCode>_-[$Bs-400A]* #,##0.00_-;\-[$Bs-400A]* #,##0.00_-;_-[$Bs-400A]* "-"??_-;_-@_-</c:formatCode>
                <c:ptCount val="6"/>
                <c:pt idx="0">
                  <c:v>5940.75</c:v>
                </c:pt>
                <c:pt idx="1">
                  <c:v>5337.25</c:v>
                </c:pt>
                <c:pt idx="2">
                  <c:v>5006.75</c:v>
                </c:pt>
                <c:pt idx="3">
                  <c:v>5049.5</c:v>
                </c:pt>
                <c:pt idx="4">
                  <c:v>5057.5</c:v>
                </c:pt>
                <c:pt idx="5">
                  <c:v>5677.75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F-4CA8-A212-DD7AC0A79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38400"/>
        <c:axId val="378265904"/>
      </c:lineChart>
      <c:catAx>
        <c:axId val="765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78265904"/>
        <c:crosses val="autoZero"/>
        <c:auto val="1"/>
        <c:lblAlgn val="ctr"/>
        <c:lblOffset val="100"/>
        <c:noMultiLvlLbl val="0"/>
      </c:catAx>
      <c:valAx>
        <c:axId val="3782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65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[analisis_ventas_ecommerce.xlsx]Pivot_Vendedor!TablaDinámica3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vendedor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Pivot_Vendedor!$B$3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Pivot_Vendedor!$A$4:$A$8</c:f>
              <c:strCache>
                <c:ptCount val="4"/>
                <c:pt idx="0">
                  <c:v>Bruno</c:v>
                </c:pt>
                <c:pt idx="1">
                  <c:v>Andrea</c:v>
                </c:pt>
                <c:pt idx="2">
                  <c:v>Carla</c:v>
                </c:pt>
                <c:pt idx="3">
                  <c:v>Diego</c:v>
                </c:pt>
              </c:strCache>
            </c:strRef>
          </c:cat>
          <c:val>
            <c:numRef>
              <c:f>Pivot_Vendedor!$B$4:$B$8</c:f>
              <c:numCache>
                <c:formatCode>_-[$Bs-400A]* #,##0.00_-;\-[$Bs-400A]* #,##0.00_-;_-[$Bs-400A]* "-"??_-;_-@_-</c:formatCode>
                <c:ptCount val="4"/>
                <c:pt idx="0">
                  <c:v>8581.75</c:v>
                </c:pt>
                <c:pt idx="1">
                  <c:v>8065.75</c:v>
                </c:pt>
                <c:pt idx="2">
                  <c:v>8025.75</c:v>
                </c:pt>
                <c:pt idx="3">
                  <c:v>7396.25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DA-4A37-80B0-B0E93E582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7973984"/>
        <c:axId val="592325200"/>
      </c:barChart>
      <c:catAx>
        <c:axId val="59797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2325200"/>
        <c:crosses val="autoZero"/>
        <c:auto val="1"/>
        <c:lblAlgn val="ctr"/>
        <c:lblOffset val="100"/>
        <c:noMultiLvlLbl val="0"/>
      </c:catAx>
      <c:valAx>
        <c:axId val="5923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79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[analisis_ventas_ecommerce.xlsx]Pivot_Ciudad!TablaDinámica4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ciudad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Pivot_Ciudad!$B$3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Pivot_Ciudad!$A$4:$A$9</c:f>
              <c:strCache>
                <c:ptCount val="5"/>
                <c:pt idx="0">
                  <c:v>Tarija</c:v>
                </c:pt>
                <c:pt idx="1">
                  <c:v>Sucre</c:v>
                </c:pt>
                <c:pt idx="2">
                  <c:v>Cochabamba</c:v>
                </c:pt>
                <c:pt idx="3">
                  <c:v>La Paz</c:v>
                </c:pt>
                <c:pt idx="4">
                  <c:v>Santa Cruz</c:v>
                </c:pt>
              </c:strCache>
            </c:strRef>
          </c:cat>
          <c:val>
            <c:numRef>
              <c:f>Pivot_Ciudad!$B$4:$B$9</c:f>
              <c:numCache>
                <c:formatCode>_-[$Bs-400A]* #,##0.00_-;\-[$Bs-400A]* #,##0.00_-;_-[$Bs-400A]* "-"??_-;_-@_-</c:formatCode>
                <c:ptCount val="5"/>
                <c:pt idx="0">
                  <c:v>11187.5</c:v>
                </c:pt>
                <c:pt idx="1">
                  <c:v>8972</c:v>
                </c:pt>
                <c:pt idx="2">
                  <c:v>5968.5</c:v>
                </c:pt>
                <c:pt idx="3">
                  <c:v>3909</c:v>
                </c:pt>
                <c:pt idx="4">
                  <c:v>2032.5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00-41DC-9A92-183427D0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463888"/>
        <c:axId val="592338640"/>
      </c:barChart>
      <c:catAx>
        <c:axId val="106446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2338640"/>
        <c:crosses val="autoZero"/>
        <c:auto val="1"/>
        <c:lblAlgn val="ctr"/>
        <c:lblOffset val="100"/>
        <c:noMultiLvlLbl val="0"/>
      </c:catAx>
      <c:valAx>
        <c:axId val="59233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[analisis_ventas_ecommerce.xlsx]Pivot_Categoria!TablaDinámica1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categoría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Pivot_Categoria!$B$3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Pivot_Categoria!$A$4:$A$7</c:f>
              <c:strCache>
                <c:ptCount val="3"/>
                <c:pt idx="0">
                  <c:v>Hogar</c:v>
                </c:pt>
                <c:pt idx="1">
                  <c:v>Oficina</c:v>
                </c:pt>
                <c:pt idx="2">
                  <c:v>Tecnología</c:v>
                </c:pt>
              </c:strCache>
            </c:strRef>
          </c:cat>
          <c:val>
            <c:numRef>
              <c:f>Pivot_Categoria!$B$4:$B$7</c:f>
              <c:numCache>
                <c:formatCode>_-[$Bs-400A]* #,##0.00_-;\-[$Bs-400A]* #,##0.00_-;_-[$Bs-400A]* "-"??_-;_-@_-</c:formatCode>
                <c:ptCount val="3"/>
                <c:pt idx="0">
                  <c:v>7245.5</c:v>
                </c:pt>
                <c:pt idx="1">
                  <c:v>10009</c:v>
                </c:pt>
                <c:pt idx="2">
                  <c:v>14815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F-4902-9B1F-D83D9A9D4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01088"/>
        <c:axId val="80278448"/>
      </c:barChart>
      <c:catAx>
        <c:axId val="713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80278448"/>
        <c:crosses val="autoZero"/>
        <c:auto val="1"/>
        <c:lblAlgn val="ctr"/>
        <c:lblOffset val="100"/>
        <c:noMultiLvlLbl val="0"/>
      </c:catAx>
      <c:valAx>
        <c:axId val="802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130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[analisis_ventas_ecommerce.xlsx]Pivot_Mensual!TablaDinámica2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Evolución mensual de ingresos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Pivot_Mensual!$B$1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Pivot_Mensual!$A$2:$A$8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Pivot_Mensual!$B$2:$B$8</c:f>
              <c:numCache>
                <c:formatCode>_-[$Bs-400A]* #,##0.00_-;\-[$Bs-400A]* #,##0.00_-;_-[$Bs-400A]* "-"??_-;_-@_-</c:formatCode>
                <c:ptCount val="6"/>
                <c:pt idx="0">
                  <c:v>5940.75</c:v>
                </c:pt>
                <c:pt idx="1">
                  <c:v>5337.25</c:v>
                </c:pt>
                <c:pt idx="2">
                  <c:v>5006.75</c:v>
                </c:pt>
                <c:pt idx="3">
                  <c:v>5049.5</c:v>
                </c:pt>
                <c:pt idx="4">
                  <c:v>5057.5</c:v>
                </c:pt>
                <c:pt idx="5">
                  <c:v>5677.75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03-4911-8BCD-3DF43F34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538400"/>
        <c:axId val="378265904"/>
      </c:lineChart>
      <c:catAx>
        <c:axId val="7653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78265904"/>
        <c:crosses val="autoZero"/>
        <c:auto val="1"/>
        <c:lblAlgn val="ctr"/>
        <c:lblOffset val="100"/>
        <c:noMultiLvlLbl val="0"/>
      </c:catAx>
      <c:valAx>
        <c:axId val="37826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653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[analisis_ventas_ecommerce.xlsx]Pivot_Vendedor!TablaDinámica3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vendedor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Pivot_Vendedor!$B$3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Pivot_Vendedor!$A$4:$A$8</c:f>
              <c:strCache>
                <c:ptCount val="4"/>
                <c:pt idx="0">
                  <c:v>Bruno</c:v>
                </c:pt>
                <c:pt idx="1">
                  <c:v>Andrea</c:v>
                </c:pt>
                <c:pt idx="2">
                  <c:v>Carla</c:v>
                </c:pt>
                <c:pt idx="3">
                  <c:v>Diego</c:v>
                </c:pt>
              </c:strCache>
            </c:strRef>
          </c:cat>
          <c:val>
            <c:numRef>
              <c:f>Pivot_Vendedor!$B$4:$B$8</c:f>
              <c:numCache>
                <c:formatCode>_-[$Bs-400A]* #,##0.00_-;\-[$Bs-400A]* #,##0.00_-;_-[$Bs-400A]* "-"??_-;_-@_-</c:formatCode>
                <c:ptCount val="4"/>
                <c:pt idx="0">
                  <c:v>8581.75</c:v>
                </c:pt>
                <c:pt idx="1">
                  <c:v>8065.75</c:v>
                </c:pt>
                <c:pt idx="2">
                  <c:v>8025.75</c:v>
                </c:pt>
                <c:pt idx="3">
                  <c:v>7396.25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7-4481-B2D3-B5A78D6C7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7973984"/>
        <c:axId val="592325200"/>
      </c:barChart>
      <c:catAx>
        <c:axId val="59797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2325200"/>
        <c:crosses val="autoZero"/>
        <c:auto val="1"/>
        <c:lblAlgn val="ctr"/>
        <c:lblOffset val="100"/>
        <c:noMultiLvlLbl val="0"/>
      </c:catAx>
      <c:valAx>
        <c:axId val="5923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79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[analisis_ventas_ecommerce.xlsx]Pivot_Ciudad!TablaDinámica4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 sz="1400" b="0" i="0" u="none" strike="noStrike" baseline="0"/>
              <a:t>Ingresos por ciudad</a:t>
            </a:r>
            <a:endParaRPr lang="es-B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Pivot_Ciudad!$B$3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Pivot_Ciudad!$A$4:$A$9</c:f>
              <c:strCache>
                <c:ptCount val="5"/>
                <c:pt idx="0">
                  <c:v>Tarija</c:v>
                </c:pt>
                <c:pt idx="1">
                  <c:v>Sucre</c:v>
                </c:pt>
                <c:pt idx="2">
                  <c:v>Cochabamba</c:v>
                </c:pt>
                <c:pt idx="3">
                  <c:v>La Paz</c:v>
                </c:pt>
                <c:pt idx="4">
                  <c:v>Santa Cruz</c:v>
                </c:pt>
              </c:strCache>
            </c:strRef>
          </c:cat>
          <c:val>
            <c:numRef>
              <c:f>Pivot_Ciudad!$B$4:$B$9</c:f>
              <c:numCache>
                <c:formatCode>_-[$Bs-400A]* #,##0.00_-;\-[$Bs-400A]* #,##0.00_-;_-[$Bs-400A]* "-"??_-;_-@_-</c:formatCode>
                <c:ptCount val="5"/>
                <c:pt idx="0">
                  <c:v>11187.5</c:v>
                </c:pt>
                <c:pt idx="1">
                  <c:v>8972</c:v>
                </c:pt>
                <c:pt idx="2">
                  <c:v>5968.5</c:v>
                </c:pt>
                <c:pt idx="3">
                  <c:v>3909</c:v>
                </c:pt>
                <c:pt idx="4">
                  <c:v>2032.5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0-4D84-919A-D510D1A7B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4463888"/>
        <c:axId val="592338640"/>
      </c:barChart>
      <c:catAx>
        <c:axId val="1064463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592338640"/>
        <c:crosses val="autoZero"/>
        <c:auto val="1"/>
        <c:lblAlgn val="ctr"/>
        <c:lblOffset val="100"/>
        <c:noMultiLvlLbl val="0"/>
      </c:catAx>
      <c:valAx>
        <c:axId val="59233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Bs-400A]* #,##0.00_-;\-[$Bs-400A]* #,##0.00_-;_-[$Bs-40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6446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563880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B7F110-ED02-4216-925B-17294BA6A3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12</xdr:col>
      <xdr:colOff>609600</xdr:colOff>
      <xdr:row>20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F070817-FE15-4CB4-830A-03F1BCEF16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563880</xdr:colOff>
      <xdr:row>39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39DDC18-B652-45BF-840B-815B69A15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12</xdr:col>
      <xdr:colOff>609600</xdr:colOff>
      <xdr:row>39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9B6BDB-CF77-4918-B186-7D20EC3FC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419099</xdr:colOff>
      <xdr:row>23</xdr:row>
      <xdr:rowOff>74022</xdr:rowOff>
    </xdr:from>
    <xdr:to>
      <xdr:col>15</xdr:col>
      <xdr:colOff>662939</xdr:colOff>
      <xdr:row>36</xdr:row>
      <xdr:rowOff>163557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iudad 1">
              <a:extLst>
                <a:ext uri="{FF2B5EF4-FFF2-40B4-BE49-F238E27FC236}">
                  <a16:creationId xmlns:a16="http://schemas.microsoft.com/office/drawing/2014/main" id="{F0CB46FD-64D4-68B8-1CC6-12C0CFAF2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49842" y="4417422"/>
              <a:ext cx="1833154" cy="2495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410391</xdr:colOff>
      <xdr:row>7</xdr:row>
      <xdr:rowOff>22860</xdr:rowOff>
    </xdr:from>
    <xdr:to>
      <xdr:col>15</xdr:col>
      <xdr:colOff>654231</xdr:colOff>
      <xdr:row>20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ategoría 1">
              <a:extLst>
                <a:ext uri="{FF2B5EF4-FFF2-40B4-BE49-F238E27FC236}">
                  <a16:creationId xmlns:a16="http://schemas.microsoft.com/office/drawing/2014/main" id="{DB55F5AC-FE6B-CF99-4BBA-8D5FDDC4E2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41134" y="1405346"/>
              <a:ext cx="1833154" cy="24952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B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5</xdr:row>
      <xdr:rowOff>148590</xdr:rowOff>
    </xdr:from>
    <xdr:to>
      <xdr:col>8</xdr:col>
      <xdr:colOff>388620</xdr:colOff>
      <xdr:row>20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B45BC6-804D-79D2-A7EF-7693E8D47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609600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A63A7E-8372-9172-1186-308A45D92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1</xdr:row>
      <xdr:rowOff>133350</xdr:rowOff>
    </xdr:from>
    <xdr:to>
      <xdr:col>8</xdr:col>
      <xdr:colOff>304800</xdr:colOff>
      <xdr:row>16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583A11-FE08-B882-68D9-8583014D1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3</xdr:row>
      <xdr:rowOff>179070</xdr:rowOff>
    </xdr:from>
    <xdr:to>
      <xdr:col>8</xdr:col>
      <xdr:colOff>381000</xdr:colOff>
      <xdr:row>18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9BC32D-313E-E165-87D4-726C9B358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mnav" refreshedDate="46256.949282870373" createdVersion="8" refreshedVersion="8" minRefreshableVersion="3" recordCount="60" xr:uid="{BF23D2A9-2574-4011-996D-29D1DC33EFD1}">
  <cacheSource type="worksheet">
    <worksheetSource name="VentasRawTable3"/>
  </cacheSource>
  <cacheFields count="13">
    <cacheField name="ID_Pedido" numFmtId="0">
      <sharedItems/>
    </cacheField>
    <cacheField name="Fecha" numFmtId="164">
      <sharedItems containsSemiMixedTypes="0" containsNonDate="0" containsDate="1" containsString="0" minDate="2026-01-03T00:00:00" maxDate="2026-06-25T00:00:00" count="48">
        <d v="2026-01-03T00:00:00"/>
        <d v="2026-01-06T00:00:00"/>
        <d v="2026-01-09T00:00:00"/>
        <d v="2026-01-12T00:00:00"/>
        <d v="2026-01-15T00:00:00"/>
        <d v="2026-01-18T00:00:00"/>
        <d v="2026-01-21T00:00:00"/>
        <d v="2026-01-24T00:00:00"/>
        <d v="2026-02-09T00:00:00"/>
        <d v="2026-02-12T00:00:00"/>
        <d v="2026-02-15T00:00:00"/>
        <d v="2026-02-18T00:00:00"/>
        <d v="2026-02-21T00:00:00"/>
        <d v="2026-02-24T00:00:00"/>
        <d v="2026-02-03T00:00:00"/>
        <d v="2026-02-06T00:00:00"/>
        <d v="2026-03-15T00:00:00"/>
        <d v="2026-03-18T00:00:00"/>
        <d v="2026-03-21T00:00:00"/>
        <d v="2026-03-24T00:00:00"/>
        <d v="2026-03-03T00:00:00"/>
        <d v="2026-03-06T00:00:00"/>
        <d v="2026-03-09T00:00:00"/>
        <d v="2026-03-12T00:00:00"/>
        <d v="2026-04-21T00:00:00"/>
        <d v="2026-04-24T00:00:00"/>
        <d v="2026-04-03T00:00:00"/>
        <d v="2026-04-06T00:00:00"/>
        <d v="2026-04-09T00:00:00"/>
        <d v="2026-04-12T00:00:00"/>
        <d v="2026-04-15T00:00:00"/>
        <d v="2026-04-18T00:00:00"/>
        <d v="2026-05-03T00:00:00"/>
        <d v="2026-05-06T00:00:00"/>
        <d v="2026-05-09T00:00:00"/>
        <d v="2026-05-12T00:00:00"/>
        <d v="2026-05-15T00:00:00"/>
        <d v="2026-05-18T00:00:00"/>
        <d v="2026-05-21T00:00:00"/>
        <d v="2026-05-24T00:00:00"/>
        <d v="2026-06-09T00:00:00"/>
        <d v="2026-06-12T00:00:00"/>
        <d v="2026-06-15T00:00:00"/>
        <d v="2026-06-18T00:00:00"/>
        <d v="2026-06-21T00:00:00"/>
        <d v="2026-06-24T00:00:00"/>
        <d v="2026-06-03T00:00:00"/>
        <d v="2026-06-06T00:00:00"/>
      </sharedItems>
      <fieldGroup par="12"/>
    </cacheField>
    <cacheField name="Región" numFmtId="0">
      <sharedItems/>
    </cacheField>
    <cacheField name="Ciudad" numFmtId="0">
      <sharedItems count="5">
        <s v="Santa Cruz"/>
        <s v="La Paz"/>
        <s v="Cochabamba"/>
        <s v="Sucre"/>
        <s v="Tarija"/>
      </sharedItems>
    </cacheField>
    <cacheField name="Categoría" numFmtId="0">
      <sharedItems count="3">
        <s v="Tecnología"/>
        <s v="Hogar"/>
        <s v="Oficina"/>
      </sharedItems>
    </cacheField>
    <cacheField name="Producto" numFmtId="0">
      <sharedItems/>
    </cacheField>
    <cacheField name="Cliente" numFmtId="0">
      <sharedItems/>
    </cacheField>
    <cacheField name="Vendedor" numFmtId="0">
      <sharedItems count="4">
        <s v="Andrea"/>
        <s v="Bruno"/>
        <s v="Carla"/>
        <s v="Diego"/>
      </sharedItems>
    </cacheField>
    <cacheField name="Cantidad" numFmtId="0">
      <sharedItems containsSemiMixedTypes="0" containsString="0" containsNumber="1" containsInteger="1" minValue="1" maxValue="5"/>
    </cacheField>
    <cacheField name="Precio_Unitario" numFmtId="165">
      <sharedItems containsSemiMixedTypes="0" containsString="0" containsNumber="1" containsInteger="1" minValue="70" maxValue="310"/>
    </cacheField>
    <cacheField name="Descuento" numFmtId="9">
      <sharedItems containsSemiMixedTypes="0" containsString="0" containsNumber="1" minValue="0" maxValue="0.1"/>
    </cacheField>
    <cacheField name="Importe_Neto" numFmtId="170">
      <sharedItems containsSemiMixedTypes="0" containsString="0" containsNumber="1" minValue="66.5" maxValue="1550"/>
    </cacheField>
    <cacheField name="Meses (Fecha)" numFmtId="0" databaseField="0">
      <fieldGroup base="1">
        <rangePr groupBy="months" startDate="2026-01-03T00:00:00" endDate="2026-06-25T00:00:00"/>
        <groupItems count="14">
          <s v="&lt;3/1/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5/6/2026"/>
        </groupItems>
      </fieldGroup>
    </cacheField>
  </cacheFields>
  <extLst>
    <ext xmlns:x14="http://schemas.microsoft.com/office/spreadsheetml/2009/9/main" uri="{725AE2AE-9491-48be-B2B4-4EB974FC3084}">
      <x14:pivotCacheDefinition pivotCacheId="1697335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ED-1001"/>
    <x v="0"/>
    <s v="Occidente"/>
    <x v="0"/>
    <x v="0"/>
    <s v="Teclado mecánico"/>
    <s v="Andrés Rojas"/>
    <x v="0"/>
    <n v="1"/>
    <n v="310"/>
    <n v="0.1"/>
    <n v="279"/>
  </r>
  <r>
    <s v="PED-1002"/>
    <x v="1"/>
    <s v="Occidente"/>
    <x v="1"/>
    <x v="1"/>
    <s v="Lámpara LED"/>
    <s v="Elena Quispe"/>
    <x v="1"/>
    <n v="2"/>
    <n v="120"/>
    <n v="0"/>
    <n v="240"/>
  </r>
  <r>
    <s v="PED-1003"/>
    <x v="2"/>
    <s v="Centro"/>
    <x v="2"/>
    <x v="1"/>
    <s v="Botella térmica"/>
    <s v="Lucía Méndez"/>
    <x v="2"/>
    <n v="3"/>
    <n v="95"/>
    <n v="0"/>
    <n v="285"/>
  </r>
  <r>
    <s v="PED-1004"/>
    <x v="3"/>
    <s v="Sur"/>
    <x v="3"/>
    <x v="2"/>
    <s v="Mochila para laptop"/>
    <s v="Ricardo Soto"/>
    <x v="3"/>
    <n v="4"/>
    <n v="260"/>
    <n v="0"/>
    <n v="1040"/>
  </r>
  <r>
    <s v="PED-1005"/>
    <x v="4"/>
    <s v="Sur"/>
    <x v="4"/>
    <x v="0"/>
    <s v="Auriculares inalámbricos"/>
    <s v="Diego Vargas"/>
    <x v="0"/>
    <n v="5"/>
    <n v="230"/>
    <n v="0"/>
    <n v="1150"/>
  </r>
  <r>
    <s v="PED-1006"/>
    <x v="5"/>
    <s v="Occidente"/>
    <x v="0"/>
    <x v="0"/>
    <s v="Mouse ergonómico"/>
    <s v="Gabriel Torres"/>
    <x v="1"/>
    <n v="1"/>
    <n v="145"/>
    <n v="0.05"/>
    <n v="137.75"/>
  </r>
  <r>
    <s v="PED-1007"/>
    <x v="6"/>
    <s v="Occidente"/>
    <x v="1"/>
    <x v="1"/>
    <s v="Organizador modular"/>
    <s v="Paola Chávez"/>
    <x v="2"/>
    <n v="2"/>
    <n v="185"/>
    <n v="0"/>
    <n v="370"/>
  </r>
  <r>
    <s v="PED-1008"/>
    <x v="7"/>
    <s v="Centro"/>
    <x v="2"/>
    <x v="1"/>
    <s v="Cuaderno ejecutivo"/>
    <s v="Camila Flores"/>
    <x v="3"/>
    <n v="3"/>
    <n v="70"/>
    <n v="0.1"/>
    <n v="189"/>
  </r>
  <r>
    <s v="PED-1009"/>
    <x v="0"/>
    <s v="Sur"/>
    <x v="3"/>
    <x v="2"/>
    <s v="Soporte para monitor"/>
    <s v="Fernanda Lima"/>
    <x v="0"/>
    <n v="4"/>
    <n v="175"/>
    <n v="0"/>
    <n v="700"/>
  </r>
  <r>
    <s v="PED-1010"/>
    <x v="1"/>
    <s v="Sur"/>
    <x v="4"/>
    <x v="0"/>
    <s v="Teclado mecánico"/>
    <s v="Martín Salazar"/>
    <x v="1"/>
    <n v="5"/>
    <n v="310"/>
    <n v="0"/>
    <n v="1550"/>
  </r>
  <r>
    <s v="PED-1011"/>
    <x v="8"/>
    <s v="Occidente"/>
    <x v="0"/>
    <x v="1"/>
    <s v="Lámpara LED"/>
    <s v="Andrés Rojas"/>
    <x v="2"/>
    <n v="1"/>
    <n v="120"/>
    <n v="0.05"/>
    <n v="114"/>
  </r>
  <r>
    <s v="PED-1012"/>
    <x v="9"/>
    <s v="Occidente"/>
    <x v="1"/>
    <x v="1"/>
    <s v="Botella térmica"/>
    <s v="Elena Quispe"/>
    <x v="3"/>
    <n v="2"/>
    <n v="95"/>
    <n v="0"/>
    <n v="190"/>
  </r>
  <r>
    <s v="PED-1013"/>
    <x v="10"/>
    <s v="Centro"/>
    <x v="2"/>
    <x v="2"/>
    <s v="Mochila para laptop"/>
    <s v="Lucía Méndez"/>
    <x v="0"/>
    <n v="3"/>
    <n v="260"/>
    <n v="0"/>
    <n v="780"/>
  </r>
  <r>
    <s v="PED-1014"/>
    <x v="11"/>
    <s v="Sur"/>
    <x v="3"/>
    <x v="0"/>
    <s v="Auriculares inalámbricos"/>
    <s v="Ricardo Soto"/>
    <x v="1"/>
    <n v="4"/>
    <n v="230"/>
    <n v="0"/>
    <n v="920"/>
  </r>
  <r>
    <s v="PED-1015"/>
    <x v="12"/>
    <s v="Sur"/>
    <x v="4"/>
    <x v="0"/>
    <s v="Mouse ergonómico"/>
    <s v="Diego Vargas"/>
    <x v="2"/>
    <n v="5"/>
    <n v="145"/>
    <n v="0.1"/>
    <n v="652.5"/>
  </r>
  <r>
    <s v="PED-1016"/>
    <x v="13"/>
    <s v="Occidente"/>
    <x v="0"/>
    <x v="1"/>
    <s v="Organizador modular"/>
    <s v="Gabriel Torres"/>
    <x v="3"/>
    <n v="1"/>
    <n v="185"/>
    <n v="0.05"/>
    <n v="175.75"/>
  </r>
  <r>
    <s v="PED-1017"/>
    <x v="14"/>
    <s v="Occidente"/>
    <x v="1"/>
    <x v="2"/>
    <s v="Cuaderno ejecutivo"/>
    <s v="Paola Chávez"/>
    <x v="0"/>
    <n v="2"/>
    <n v="70"/>
    <n v="0"/>
    <n v="140"/>
  </r>
  <r>
    <s v="PED-1018"/>
    <x v="15"/>
    <s v="Centro"/>
    <x v="2"/>
    <x v="2"/>
    <s v="Soporte para monitor"/>
    <s v="Camila Flores"/>
    <x v="1"/>
    <n v="3"/>
    <n v="175"/>
    <n v="0"/>
    <n v="525"/>
  </r>
  <r>
    <s v="PED-1019"/>
    <x v="8"/>
    <s v="Sur"/>
    <x v="3"/>
    <x v="0"/>
    <s v="Teclado mecánico"/>
    <s v="Fernanda Lima"/>
    <x v="2"/>
    <n v="4"/>
    <n v="310"/>
    <n v="0"/>
    <n v="1240"/>
  </r>
  <r>
    <s v="PED-1020"/>
    <x v="9"/>
    <s v="Sur"/>
    <x v="4"/>
    <x v="1"/>
    <s v="Lámpara LED"/>
    <s v="Martín Salazar"/>
    <x v="3"/>
    <n v="5"/>
    <n v="120"/>
    <n v="0"/>
    <n v="600"/>
  </r>
  <r>
    <s v="PED-1021"/>
    <x v="16"/>
    <s v="Occidente"/>
    <x v="0"/>
    <x v="1"/>
    <s v="Botella térmica"/>
    <s v="Andrés Rojas"/>
    <x v="0"/>
    <n v="1"/>
    <n v="95"/>
    <n v="0.05"/>
    <n v="90.25"/>
  </r>
  <r>
    <s v="PED-1022"/>
    <x v="17"/>
    <s v="Occidente"/>
    <x v="1"/>
    <x v="2"/>
    <s v="Mochila para laptop"/>
    <s v="Elena Quispe"/>
    <x v="1"/>
    <n v="2"/>
    <n v="260"/>
    <n v="0.1"/>
    <n v="468"/>
  </r>
  <r>
    <s v="PED-1023"/>
    <x v="18"/>
    <s v="Centro"/>
    <x v="2"/>
    <x v="0"/>
    <s v="Auriculares inalámbricos"/>
    <s v="Lucía Méndez"/>
    <x v="2"/>
    <n v="3"/>
    <n v="230"/>
    <n v="0"/>
    <n v="690"/>
  </r>
  <r>
    <s v="PED-1024"/>
    <x v="19"/>
    <s v="Sur"/>
    <x v="3"/>
    <x v="0"/>
    <s v="Mouse ergonómico"/>
    <s v="Ricardo Soto"/>
    <x v="3"/>
    <n v="4"/>
    <n v="145"/>
    <n v="0"/>
    <n v="580"/>
  </r>
  <r>
    <s v="PED-1025"/>
    <x v="20"/>
    <s v="Sur"/>
    <x v="4"/>
    <x v="1"/>
    <s v="Organizador modular"/>
    <s v="Diego Vargas"/>
    <x v="0"/>
    <n v="5"/>
    <n v="185"/>
    <n v="0"/>
    <n v="925"/>
  </r>
  <r>
    <s v="PED-1026"/>
    <x v="21"/>
    <s v="Occidente"/>
    <x v="0"/>
    <x v="2"/>
    <s v="Cuaderno ejecutivo"/>
    <s v="Gabriel Torres"/>
    <x v="1"/>
    <n v="1"/>
    <n v="70"/>
    <n v="0.05"/>
    <n v="66.5"/>
  </r>
  <r>
    <s v="PED-1027"/>
    <x v="22"/>
    <s v="Occidente"/>
    <x v="1"/>
    <x v="2"/>
    <s v="Soporte para monitor"/>
    <s v="Paola Chávez"/>
    <x v="2"/>
    <n v="2"/>
    <n v="175"/>
    <n v="0"/>
    <n v="350"/>
  </r>
  <r>
    <s v="PED-1028"/>
    <x v="23"/>
    <s v="Centro"/>
    <x v="2"/>
    <x v="0"/>
    <s v="Teclado mecánico"/>
    <s v="Camila Flores"/>
    <x v="3"/>
    <n v="3"/>
    <n v="310"/>
    <n v="0"/>
    <n v="930"/>
  </r>
  <r>
    <s v="PED-1029"/>
    <x v="16"/>
    <s v="Sur"/>
    <x v="3"/>
    <x v="1"/>
    <s v="Lámpara LED"/>
    <s v="Fernanda Lima"/>
    <x v="0"/>
    <n v="4"/>
    <n v="120"/>
    <n v="0.1"/>
    <n v="432"/>
  </r>
  <r>
    <s v="PED-1030"/>
    <x v="17"/>
    <s v="Sur"/>
    <x v="4"/>
    <x v="1"/>
    <s v="Botella térmica"/>
    <s v="Martín Salazar"/>
    <x v="1"/>
    <n v="5"/>
    <n v="95"/>
    <n v="0"/>
    <n v="475"/>
  </r>
  <r>
    <s v="PED-1031"/>
    <x v="24"/>
    <s v="Occidente"/>
    <x v="0"/>
    <x v="2"/>
    <s v="Mochila para laptop"/>
    <s v="Andrés Rojas"/>
    <x v="2"/>
    <n v="1"/>
    <n v="260"/>
    <n v="0.05"/>
    <n v="247"/>
  </r>
  <r>
    <s v="PED-1032"/>
    <x v="25"/>
    <s v="Occidente"/>
    <x v="1"/>
    <x v="0"/>
    <s v="Auriculares inalámbricos"/>
    <s v="Elena Quispe"/>
    <x v="3"/>
    <n v="2"/>
    <n v="230"/>
    <n v="0"/>
    <n v="460"/>
  </r>
  <r>
    <s v="PED-1033"/>
    <x v="26"/>
    <s v="Centro"/>
    <x v="2"/>
    <x v="0"/>
    <s v="Mouse ergonómico"/>
    <s v="Lucía Méndez"/>
    <x v="0"/>
    <n v="3"/>
    <n v="145"/>
    <n v="0"/>
    <n v="435"/>
  </r>
  <r>
    <s v="PED-1034"/>
    <x v="27"/>
    <s v="Sur"/>
    <x v="3"/>
    <x v="1"/>
    <s v="Organizador modular"/>
    <s v="Ricardo Soto"/>
    <x v="1"/>
    <n v="4"/>
    <n v="185"/>
    <n v="0"/>
    <n v="740"/>
  </r>
  <r>
    <s v="PED-1035"/>
    <x v="28"/>
    <s v="Sur"/>
    <x v="4"/>
    <x v="2"/>
    <s v="Cuaderno ejecutivo"/>
    <s v="Diego Vargas"/>
    <x v="2"/>
    <n v="5"/>
    <n v="70"/>
    <n v="0"/>
    <n v="350"/>
  </r>
  <r>
    <s v="PED-1036"/>
    <x v="29"/>
    <s v="Occidente"/>
    <x v="0"/>
    <x v="2"/>
    <s v="Soporte para monitor"/>
    <s v="Gabriel Torres"/>
    <x v="3"/>
    <n v="1"/>
    <n v="175"/>
    <n v="0.1"/>
    <n v="157.5"/>
  </r>
  <r>
    <s v="PED-1037"/>
    <x v="30"/>
    <s v="Occidente"/>
    <x v="1"/>
    <x v="0"/>
    <s v="Teclado mecánico"/>
    <s v="Paola Chávez"/>
    <x v="0"/>
    <n v="2"/>
    <n v="310"/>
    <n v="0"/>
    <n v="620"/>
  </r>
  <r>
    <s v="PED-1038"/>
    <x v="31"/>
    <s v="Centro"/>
    <x v="2"/>
    <x v="1"/>
    <s v="Lámpara LED"/>
    <s v="Camila Flores"/>
    <x v="1"/>
    <n v="3"/>
    <n v="120"/>
    <n v="0"/>
    <n v="360"/>
  </r>
  <r>
    <s v="PED-1039"/>
    <x v="24"/>
    <s v="Sur"/>
    <x v="3"/>
    <x v="1"/>
    <s v="Botella térmica"/>
    <s v="Fernanda Lima"/>
    <x v="2"/>
    <n v="4"/>
    <n v="95"/>
    <n v="0"/>
    <n v="380"/>
  </r>
  <r>
    <s v="PED-1040"/>
    <x v="25"/>
    <s v="Sur"/>
    <x v="4"/>
    <x v="2"/>
    <s v="Mochila para laptop"/>
    <s v="Martín Salazar"/>
    <x v="3"/>
    <n v="5"/>
    <n v="260"/>
    <n v="0"/>
    <n v="1300"/>
  </r>
  <r>
    <s v="PED-1041"/>
    <x v="32"/>
    <s v="Occidente"/>
    <x v="0"/>
    <x v="0"/>
    <s v="Auriculares inalámbricos"/>
    <s v="Andrés Rojas"/>
    <x v="0"/>
    <n v="1"/>
    <n v="230"/>
    <n v="0.05"/>
    <n v="218.5"/>
  </r>
  <r>
    <s v="PED-1042"/>
    <x v="33"/>
    <s v="Occidente"/>
    <x v="1"/>
    <x v="0"/>
    <s v="Mouse ergonómico"/>
    <s v="Elena Quispe"/>
    <x v="1"/>
    <n v="2"/>
    <n v="145"/>
    <n v="0"/>
    <n v="290"/>
  </r>
  <r>
    <s v="PED-1043"/>
    <x v="34"/>
    <s v="Centro"/>
    <x v="2"/>
    <x v="1"/>
    <s v="Organizador modular"/>
    <s v="Lucía Méndez"/>
    <x v="2"/>
    <n v="3"/>
    <n v="185"/>
    <n v="0.1"/>
    <n v="499.5"/>
  </r>
  <r>
    <s v="PED-1044"/>
    <x v="35"/>
    <s v="Sur"/>
    <x v="3"/>
    <x v="2"/>
    <s v="Cuaderno ejecutivo"/>
    <s v="Ricardo Soto"/>
    <x v="3"/>
    <n v="4"/>
    <n v="70"/>
    <n v="0"/>
    <n v="280"/>
  </r>
  <r>
    <s v="PED-1045"/>
    <x v="36"/>
    <s v="Sur"/>
    <x v="4"/>
    <x v="2"/>
    <s v="Soporte para monitor"/>
    <s v="Diego Vargas"/>
    <x v="0"/>
    <n v="5"/>
    <n v="175"/>
    <n v="0"/>
    <n v="875"/>
  </r>
  <r>
    <s v="PED-1046"/>
    <x v="37"/>
    <s v="Occidente"/>
    <x v="0"/>
    <x v="0"/>
    <s v="Teclado mecánico"/>
    <s v="Gabriel Torres"/>
    <x v="1"/>
    <n v="1"/>
    <n v="310"/>
    <n v="0.05"/>
    <n v="294.5"/>
  </r>
  <r>
    <s v="PED-1047"/>
    <x v="38"/>
    <s v="Occidente"/>
    <x v="1"/>
    <x v="1"/>
    <s v="Lámpara LED"/>
    <s v="Paola Chávez"/>
    <x v="2"/>
    <n v="2"/>
    <n v="120"/>
    <n v="0"/>
    <n v="240"/>
  </r>
  <r>
    <s v="PED-1048"/>
    <x v="39"/>
    <s v="Centro"/>
    <x v="2"/>
    <x v="1"/>
    <s v="Botella térmica"/>
    <s v="Camila Flores"/>
    <x v="3"/>
    <n v="3"/>
    <n v="95"/>
    <n v="0"/>
    <n v="285"/>
  </r>
  <r>
    <s v="PED-1049"/>
    <x v="32"/>
    <s v="Sur"/>
    <x v="3"/>
    <x v="2"/>
    <s v="Mochila para laptop"/>
    <s v="Fernanda Lima"/>
    <x v="0"/>
    <n v="4"/>
    <n v="260"/>
    <n v="0"/>
    <n v="1040"/>
  </r>
  <r>
    <s v="PED-1050"/>
    <x v="33"/>
    <s v="Sur"/>
    <x v="4"/>
    <x v="0"/>
    <s v="Auriculares inalámbricos"/>
    <s v="Martín Salazar"/>
    <x v="1"/>
    <n v="5"/>
    <n v="230"/>
    <n v="0.1"/>
    <n v="1035"/>
  </r>
  <r>
    <s v="PED-1051"/>
    <x v="40"/>
    <s v="Occidente"/>
    <x v="0"/>
    <x v="0"/>
    <s v="Mouse ergonómico"/>
    <s v="Andrés Rojas"/>
    <x v="2"/>
    <n v="1"/>
    <n v="145"/>
    <n v="0.05"/>
    <n v="137.75"/>
  </r>
  <r>
    <s v="PED-1052"/>
    <x v="41"/>
    <s v="Occidente"/>
    <x v="1"/>
    <x v="1"/>
    <s v="Organizador modular"/>
    <s v="Elena Quispe"/>
    <x v="3"/>
    <n v="2"/>
    <n v="185"/>
    <n v="0"/>
    <n v="370"/>
  </r>
  <r>
    <s v="PED-1053"/>
    <x v="42"/>
    <s v="Centro"/>
    <x v="2"/>
    <x v="2"/>
    <s v="Cuaderno ejecutivo"/>
    <s v="Lucía Méndez"/>
    <x v="0"/>
    <n v="3"/>
    <n v="70"/>
    <n v="0"/>
    <n v="210"/>
  </r>
  <r>
    <s v="PED-1054"/>
    <x v="43"/>
    <s v="Sur"/>
    <x v="3"/>
    <x v="2"/>
    <s v="Soporte para monitor"/>
    <s v="Ricardo Soto"/>
    <x v="1"/>
    <n v="4"/>
    <n v="175"/>
    <n v="0"/>
    <n v="700"/>
  </r>
  <r>
    <s v="PED-1055"/>
    <x v="44"/>
    <s v="Sur"/>
    <x v="4"/>
    <x v="0"/>
    <s v="Teclado mecánico"/>
    <s v="Diego Vargas"/>
    <x v="2"/>
    <n v="5"/>
    <n v="310"/>
    <n v="0"/>
    <n v="1550"/>
  </r>
  <r>
    <s v="PED-1056"/>
    <x v="45"/>
    <s v="Occidente"/>
    <x v="0"/>
    <x v="1"/>
    <s v="Lámpara LED"/>
    <s v="Gabriel Torres"/>
    <x v="3"/>
    <n v="1"/>
    <n v="120"/>
    <n v="0.05"/>
    <n v="114"/>
  </r>
  <r>
    <s v="PED-1057"/>
    <x v="46"/>
    <s v="Occidente"/>
    <x v="1"/>
    <x v="1"/>
    <s v="Botella térmica"/>
    <s v="Paola Chávez"/>
    <x v="0"/>
    <n v="2"/>
    <n v="95"/>
    <n v="0.1"/>
    <n v="171"/>
  </r>
  <r>
    <s v="PED-1058"/>
    <x v="47"/>
    <s v="Centro"/>
    <x v="2"/>
    <x v="2"/>
    <s v="Mochila para laptop"/>
    <s v="Camila Flores"/>
    <x v="1"/>
    <n v="3"/>
    <n v="260"/>
    <n v="0"/>
    <n v="780"/>
  </r>
  <r>
    <s v="PED-1059"/>
    <x v="40"/>
    <s v="Sur"/>
    <x v="3"/>
    <x v="0"/>
    <s v="Auriculares inalámbricos"/>
    <s v="Fernanda Lima"/>
    <x v="2"/>
    <n v="4"/>
    <n v="230"/>
    <n v="0"/>
    <n v="920"/>
  </r>
  <r>
    <s v="PED-1060"/>
    <x v="41"/>
    <s v="Sur"/>
    <x v="4"/>
    <x v="0"/>
    <s v="Mouse ergonómico"/>
    <s v="Martín Salazar"/>
    <x v="3"/>
    <n v="5"/>
    <n v="145"/>
    <n v="0"/>
    <n v="7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1B11E-850F-4A9D-9F7B-1EC54D131749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numFmtId="164" showAll="0">
      <items count="49">
        <item x="0"/>
        <item x="1"/>
        <item x="2"/>
        <item x="3"/>
        <item x="4"/>
        <item x="5"/>
        <item x="6"/>
        <item x="7"/>
        <item x="14"/>
        <item x="15"/>
        <item x="8"/>
        <item x="9"/>
        <item x="10"/>
        <item x="11"/>
        <item x="12"/>
        <item x="13"/>
        <item x="20"/>
        <item x="21"/>
        <item x="22"/>
        <item x="23"/>
        <item x="16"/>
        <item x="17"/>
        <item x="18"/>
        <item x="19"/>
        <item x="26"/>
        <item x="27"/>
        <item x="28"/>
        <item x="29"/>
        <item x="30"/>
        <item x="31"/>
        <item x="24"/>
        <item x="25"/>
        <item x="32"/>
        <item x="33"/>
        <item x="34"/>
        <item x="35"/>
        <item x="36"/>
        <item x="37"/>
        <item x="38"/>
        <item x="39"/>
        <item x="46"/>
        <item x="47"/>
        <item x="40"/>
        <item x="41"/>
        <item x="42"/>
        <item x="43"/>
        <item x="44"/>
        <item x="45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numFmtId="9" showAll="0"/>
    <pivotField dataField="1" numFmtId="170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Importe_Neto" fld="11" baseField="0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A3C06-623A-4D5B-AA40-D6A36FFC6371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:B8" firstHeaderRow="1" firstDataRow="1" firstDataCol="1"/>
  <pivotFields count="13">
    <pivotField showAll="0"/>
    <pivotField numFmtId="164" showAll="0">
      <items count="49">
        <item x="0"/>
        <item x="1"/>
        <item x="2"/>
        <item x="3"/>
        <item x="4"/>
        <item x="5"/>
        <item x="6"/>
        <item x="7"/>
        <item x="14"/>
        <item x="15"/>
        <item x="8"/>
        <item x="9"/>
        <item x="10"/>
        <item x="11"/>
        <item x="12"/>
        <item x="13"/>
        <item x="20"/>
        <item x="21"/>
        <item x="22"/>
        <item x="23"/>
        <item x="16"/>
        <item x="17"/>
        <item x="18"/>
        <item x="19"/>
        <item x="26"/>
        <item x="27"/>
        <item x="28"/>
        <item x="29"/>
        <item x="30"/>
        <item x="31"/>
        <item x="24"/>
        <item x="25"/>
        <item x="32"/>
        <item x="33"/>
        <item x="34"/>
        <item x="35"/>
        <item x="36"/>
        <item x="37"/>
        <item x="38"/>
        <item x="39"/>
        <item x="46"/>
        <item x="47"/>
        <item x="40"/>
        <item x="41"/>
        <item x="42"/>
        <item x="43"/>
        <item x="44"/>
        <item x="45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numFmtId="9" showAll="0"/>
    <pivotField dataField="1" numFmtId="170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Importe_Neto" fld="11" baseField="0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E4835-5AF7-417D-9AFD-B2F2EAC3C148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numFmtId="164" showAll="0">
      <items count="49">
        <item x="0"/>
        <item x="1"/>
        <item x="2"/>
        <item x="3"/>
        <item x="4"/>
        <item x="5"/>
        <item x="6"/>
        <item x="7"/>
        <item x="14"/>
        <item x="15"/>
        <item x="8"/>
        <item x="9"/>
        <item x="10"/>
        <item x="11"/>
        <item x="12"/>
        <item x="13"/>
        <item x="20"/>
        <item x="21"/>
        <item x="22"/>
        <item x="23"/>
        <item x="16"/>
        <item x="17"/>
        <item x="18"/>
        <item x="19"/>
        <item x="26"/>
        <item x="27"/>
        <item x="28"/>
        <item x="29"/>
        <item x="30"/>
        <item x="31"/>
        <item x="24"/>
        <item x="25"/>
        <item x="32"/>
        <item x="33"/>
        <item x="34"/>
        <item x="35"/>
        <item x="36"/>
        <item x="37"/>
        <item x="38"/>
        <item x="39"/>
        <item x="46"/>
        <item x="47"/>
        <item x="40"/>
        <item x="41"/>
        <item x="42"/>
        <item x="43"/>
        <item x="44"/>
        <item x="45"/>
        <item t="default"/>
      </items>
    </pivotField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numFmtId="9" showAll="0"/>
    <pivotField dataField="1" numFmtId="170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a de Importe_Neto" fld="11" baseField="0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F7D3D-E56A-4313-9D1C-1A48E85FDCEE}" name="TablaDiná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showAll="0"/>
    <pivotField numFmtId="164" showAll="0">
      <items count="49">
        <item x="0"/>
        <item x="1"/>
        <item x="2"/>
        <item x="3"/>
        <item x="4"/>
        <item x="5"/>
        <item x="6"/>
        <item x="7"/>
        <item x="14"/>
        <item x="15"/>
        <item x="8"/>
        <item x="9"/>
        <item x="10"/>
        <item x="11"/>
        <item x="12"/>
        <item x="13"/>
        <item x="20"/>
        <item x="21"/>
        <item x="22"/>
        <item x="23"/>
        <item x="16"/>
        <item x="17"/>
        <item x="18"/>
        <item x="19"/>
        <item x="26"/>
        <item x="27"/>
        <item x="28"/>
        <item x="29"/>
        <item x="30"/>
        <item x="31"/>
        <item x="24"/>
        <item x="25"/>
        <item x="32"/>
        <item x="33"/>
        <item x="34"/>
        <item x="35"/>
        <item x="36"/>
        <item x="37"/>
        <item x="38"/>
        <item x="39"/>
        <item x="46"/>
        <item x="47"/>
        <item x="40"/>
        <item x="41"/>
        <item x="42"/>
        <item x="43"/>
        <item x="44"/>
        <item x="45"/>
        <item t="default"/>
      </items>
    </pivotField>
    <pivotField showAll="0"/>
    <pivotField axis="axisRow" showAll="0" sortType="descending">
      <items count="6">
        <item x="2"/>
        <item x="1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numFmtId="165" showAll="0"/>
    <pivotField numFmtId="9" showAll="0"/>
    <pivotField dataField="1" numFmtId="170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 v="4"/>
    </i>
    <i>
      <x v="3"/>
    </i>
    <i>
      <x/>
    </i>
    <i>
      <x v="1"/>
    </i>
    <i>
      <x v="2"/>
    </i>
    <i t="grand">
      <x/>
    </i>
  </rowItems>
  <colItems count="1">
    <i/>
  </colItems>
  <dataFields count="1">
    <dataField name="Suma de Importe_Neto" fld="11" baseField="0" baseItem="0" numFmtId="17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6857732C-B519-4917-A132-85AA7BCBB5F6}" sourceName="Ciudad">
  <pivotTables>
    <pivotTable tabId="4" name="TablaDinámica1"/>
    <pivotTable tabId="7" name="TablaDinámica4"/>
    <pivotTable tabId="5" name="TablaDinámica2"/>
    <pivotTable tabId="6" name="TablaDinámica3"/>
  </pivotTables>
  <data>
    <tabular pivotCacheId="169733560">
      <items count="5">
        <i x="2" s="1"/>
        <i x="1" s="1"/>
        <i x="0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6637F37D-5F39-4827-9427-EFD3C22A23A8}" sourceName="Categoría">
  <pivotTables>
    <pivotTable tabId="4" name="TablaDinámica1"/>
    <pivotTable tabId="7" name="TablaDinámica4"/>
    <pivotTable tabId="5" name="TablaDinámica2"/>
    <pivotTable tabId="6" name="TablaDinámica3"/>
  </pivotTables>
  <data>
    <tabular pivotCacheId="169733560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 1" xr10:uid="{53BC0C1C-13B0-41B3-9F12-5475D13534A0}" cache="SegmentaciónDeDatos_Ciudad" caption="Ciudad" rowHeight="234950"/>
  <slicer name="Categoría 1" xr10:uid="{3CA548DC-DC5F-466A-B24A-FC89F8015135}" cache="SegmentaciónDeDatos_Categoría" caption="Categorí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K63" totalsRowShown="0">
  <tableColumns count="11">
    <tableColumn id="1" xr3:uid="{00000000-0010-0000-0000-000001000000}" name="ID_Pedido"/>
    <tableColumn id="2" xr3:uid="{00000000-0010-0000-0000-000002000000}" name="Fecha"/>
    <tableColumn id="3" xr3:uid="{00000000-0010-0000-0000-000003000000}" name="Región"/>
    <tableColumn id="4" xr3:uid="{00000000-0010-0000-0000-000004000000}" name="Ciudad"/>
    <tableColumn id="5" xr3:uid="{00000000-0010-0000-0000-000005000000}" name="Categoría"/>
    <tableColumn id="6" xr3:uid="{00000000-0010-0000-0000-000006000000}" name="Producto"/>
    <tableColumn id="7" xr3:uid="{00000000-0010-0000-0000-000007000000}" name="Cliente"/>
    <tableColumn id="8" xr3:uid="{00000000-0010-0000-0000-000008000000}" name="Vendedor"/>
    <tableColumn id="9" xr3:uid="{00000000-0010-0000-0000-000009000000}" name="Cantidad"/>
    <tableColumn id="10" xr3:uid="{00000000-0010-0000-0000-00000A000000}" name="Precio_Unitario"/>
    <tableColumn id="11" xr3:uid="{00000000-0010-0000-0000-00000B000000}" name="Descu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70B68-9E8B-4D95-BF39-B674C7FE3F08}" name="VentasRawTable3" displayName="VentasRawTable3" ref="A1:L61" totalsRowShown="0">
  <autoFilter ref="A1:L61" xr:uid="{35870B68-9E8B-4D95-BF39-B674C7FE3F08}"/>
  <tableColumns count="12">
    <tableColumn id="1" xr3:uid="{1BC4386C-A294-467D-B164-5513EBA3DF2F}" name="ID_Pedido"/>
    <tableColumn id="2" xr3:uid="{15368BC7-72A9-4126-B99B-A37F5106FFAC}" name="Fecha"/>
    <tableColumn id="3" xr3:uid="{FF3AED08-CFA4-4B13-9092-F83B2562E2E8}" name="Región"/>
    <tableColumn id="4" xr3:uid="{15B74C67-6657-4593-9CEE-554F7B210A34}" name="Ciudad"/>
    <tableColumn id="5" xr3:uid="{1C74A1A9-2551-4864-9459-D7B764BE8389}" name="Categoría"/>
    <tableColumn id="6" xr3:uid="{46A755DD-F97D-491A-9D71-B07CC4AE7664}" name="Producto"/>
    <tableColumn id="7" xr3:uid="{FD35BED8-DCA0-4182-9212-E975C60765C4}" name="Cliente"/>
    <tableColumn id="8" xr3:uid="{39868468-A1C4-42B5-AD65-EAF90B7DEB3F}" name="Vendedor"/>
    <tableColumn id="9" xr3:uid="{EE15D2BE-2224-4023-B66D-329BE5023012}" name="Cantidad"/>
    <tableColumn id="10" xr3:uid="{26C32BB5-D9E6-4F4C-B130-F0928E4D7549}" name="Precio_Unitario"/>
    <tableColumn id="11" xr3:uid="{4E44507D-9CAB-4B8A-8B29-2BF5DD310283}" name="Descuento"/>
    <tableColumn id="12" xr3:uid="{9994153F-49FC-4364-A43A-CA128347FCE8}" name="Importe_Neto" dataDxfId="0">
      <calculatedColumnFormula>VentasRawTable3[[#This Row],[Cantidad]]*VentasRawTable3[[#This Row],[Precio_Unitario]]*(1-VentasRawTable3[[#This Row],[Descuento]])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804E-B9A9-484D-9D68-B15E9F5DDFC7}">
  <dimension ref="A1:H3"/>
  <sheetViews>
    <sheetView tabSelected="1" topLeftCell="A4" zoomScale="70" zoomScaleNormal="70" workbookViewId="0">
      <selection activeCell="Q28" sqref="Q28"/>
    </sheetView>
  </sheetViews>
  <sheetFormatPr baseColWidth="10" defaultRowHeight="14.4"/>
  <cols>
    <col min="1" max="1" width="16.6640625" bestFit="1" customWidth="1"/>
    <col min="2" max="2" width="15.6640625" bestFit="1" customWidth="1"/>
    <col min="4" max="4" width="17.21875" bestFit="1" customWidth="1"/>
    <col min="5" max="5" width="11.6640625" bestFit="1" customWidth="1"/>
    <col min="7" max="7" width="19" bestFit="1" customWidth="1"/>
    <col min="8" max="8" width="12.33203125" bestFit="1" customWidth="1"/>
  </cols>
  <sheetData>
    <row r="1" spans="1:8" ht="18">
      <c r="A1" s="16" t="s">
        <v>133</v>
      </c>
      <c r="B1" s="16"/>
      <c r="C1" s="16"/>
      <c r="D1" s="16"/>
    </row>
    <row r="3" spans="1:8" ht="18">
      <c r="A3" s="17" t="s">
        <v>134</v>
      </c>
      <c r="B3" s="18">
        <f>SUM(Ventas_Limpias!L:L)</f>
        <v>32069.5</v>
      </c>
      <c r="D3" s="17" t="s">
        <v>135</v>
      </c>
      <c r="E3" s="19">
        <f>COUNTA(Ventas_Limpias!A:A)-1</f>
        <v>60</v>
      </c>
      <c r="F3" s="15"/>
      <c r="G3" s="17" t="s">
        <v>136</v>
      </c>
      <c r="H3" s="18">
        <f>B3/E3</f>
        <v>534.49166666666667</v>
      </c>
    </row>
  </sheetData>
  <mergeCells count="1">
    <mergeCell ref="A1:D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workbookViewId="0">
      <selection activeCell="C8" sqref="C8"/>
    </sheetView>
  </sheetViews>
  <sheetFormatPr baseColWidth="10" defaultColWidth="8.88671875" defaultRowHeight="14.4"/>
  <cols>
    <col min="1" max="1" width="34" customWidth="1"/>
    <col min="2" max="2" width="26" customWidth="1"/>
  </cols>
  <sheetData>
    <row r="1" spans="1:6" ht="28.05" customHeight="1">
      <c r="A1" s="8" t="s">
        <v>0</v>
      </c>
      <c r="B1" s="8"/>
      <c r="C1" s="8"/>
      <c r="D1" s="8"/>
      <c r="E1" s="8"/>
      <c r="F1" s="8"/>
    </row>
    <row r="3" spans="1:6">
      <c r="A3" s="6" t="s">
        <v>1</v>
      </c>
      <c r="B3" s="9" t="s">
        <v>2</v>
      </c>
      <c r="C3" s="9"/>
      <c r="D3" s="9"/>
      <c r="E3" s="9"/>
      <c r="F3" s="10"/>
    </row>
    <row r="5" spans="1:6">
      <c r="A5" s="7" t="s">
        <v>3</v>
      </c>
    </row>
    <row r="6" spans="1:6" ht="28.8">
      <c r="A6" s="5" t="s">
        <v>4</v>
      </c>
    </row>
    <row r="7" spans="1:6" ht="28.8">
      <c r="A7" s="5" t="s">
        <v>5</v>
      </c>
    </row>
    <row r="8" spans="1:6" ht="28.8">
      <c r="A8" s="5" t="s">
        <v>6</v>
      </c>
    </row>
    <row r="9" spans="1:6">
      <c r="A9" s="5" t="s">
        <v>7</v>
      </c>
    </row>
    <row r="10" spans="1:6" ht="28.8">
      <c r="A10" s="5" t="s">
        <v>8</v>
      </c>
    </row>
    <row r="11" spans="1:6" ht="28.8">
      <c r="A11" s="5" t="s">
        <v>9</v>
      </c>
    </row>
    <row r="12" spans="1:6" ht="28.8">
      <c r="A12" s="5" t="s">
        <v>10</v>
      </c>
    </row>
    <row r="14" spans="1:6">
      <c r="A14" s="4" t="s">
        <v>11</v>
      </c>
    </row>
    <row r="15" spans="1:6">
      <c r="A15" s="5" t="s">
        <v>12</v>
      </c>
    </row>
    <row r="16" spans="1:6">
      <c r="A16" s="5" t="s">
        <v>13</v>
      </c>
    </row>
    <row r="17" spans="1:1" ht="28.8">
      <c r="A17" s="5" t="s">
        <v>14</v>
      </c>
    </row>
    <row r="18" spans="1:1">
      <c r="A18" s="5" t="s">
        <v>15</v>
      </c>
    </row>
    <row r="19" spans="1:1">
      <c r="A19" s="5" t="s">
        <v>16</v>
      </c>
    </row>
  </sheetData>
  <mergeCells count="2">
    <mergeCell ref="A1:F1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showGridLines="0" workbookViewId="0"/>
  </sheetViews>
  <sheetFormatPr baseColWidth="10" defaultColWidth="8.88671875" defaultRowHeight="14.4"/>
  <cols>
    <col min="1" max="1" width="10.88671875" customWidth="1"/>
    <col min="2" max="2" width="10.33203125" bestFit="1" customWidth="1"/>
    <col min="3" max="3" width="8.21875" customWidth="1"/>
    <col min="4" max="5" width="10.21875" customWidth="1"/>
    <col min="6" max="6" width="28" customWidth="1"/>
    <col min="7" max="7" width="20" customWidth="1"/>
    <col min="8" max="8" width="10.44140625" customWidth="1"/>
    <col min="9" max="9" width="9.88671875" customWidth="1"/>
    <col min="10" max="10" width="15" customWidth="1"/>
    <col min="11" max="11" width="11.109375" customWidth="1"/>
  </cols>
  <sheetData>
    <row r="1" spans="1:1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>
      <c r="A2" t="s">
        <v>28</v>
      </c>
      <c r="B2" s="1">
        <v>46025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 s="2">
        <v>310</v>
      </c>
      <c r="K2" s="3">
        <v>0.1</v>
      </c>
    </row>
    <row r="3" spans="1:11">
      <c r="A3" t="s">
        <v>35</v>
      </c>
      <c r="B3" s="1">
        <v>46028</v>
      </c>
      <c r="C3" t="s">
        <v>29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>
        <v>2</v>
      </c>
      <c r="J3" s="2">
        <v>120</v>
      </c>
      <c r="K3" s="3">
        <v>0</v>
      </c>
    </row>
    <row r="4" spans="1:11">
      <c r="A4" t="s">
        <v>41</v>
      </c>
      <c r="B4" s="1">
        <v>46031</v>
      </c>
      <c r="C4" t="s">
        <v>42</v>
      </c>
      <c r="D4" t="s">
        <v>43</v>
      </c>
      <c r="E4" t="s">
        <v>37</v>
      </c>
      <c r="F4" t="s">
        <v>44</v>
      </c>
      <c r="G4" t="s">
        <v>45</v>
      </c>
      <c r="H4" t="s">
        <v>46</v>
      </c>
      <c r="I4">
        <v>3</v>
      </c>
      <c r="J4" s="2">
        <v>95</v>
      </c>
      <c r="K4" s="3">
        <v>0</v>
      </c>
    </row>
    <row r="5" spans="1:11">
      <c r="A5" t="s">
        <v>47</v>
      </c>
      <c r="B5" s="1">
        <v>46034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>
        <v>4</v>
      </c>
      <c r="J5" s="2">
        <v>260</v>
      </c>
      <c r="K5" s="3">
        <v>0</v>
      </c>
    </row>
    <row r="6" spans="1:11">
      <c r="A6" t="s">
        <v>54</v>
      </c>
      <c r="B6" s="1">
        <v>46037</v>
      </c>
      <c r="C6" t="s">
        <v>48</v>
      </c>
      <c r="D6" t="s">
        <v>55</v>
      </c>
      <c r="E6" t="s">
        <v>31</v>
      </c>
      <c r="F6" t="s">
        <v>56</v>
      </c>
      <c r="G6" t="s">
        <v>57</v>
      </c>
      <c r="H6" t="s">
        <v>34</v>
      </c>
      <c r="I6">
        <v>5</v>
      </c>
      <c r="J6" s="2">
        <v>230</v>
      </c>
      <c r="K6" s="3">
        <v>0</v>
      </c>
    </row>
    <row r="7" spans="1:11">
      <c r="A7" t="s">
        <v>58</v>
      </c>
      <c r="B7" s="1">
        <v>46040</v>
      </c>
      <c r="C7" t="s">
        <v>29</v>
      </c>
      <c r="D7" t="s">
        <v>30</v>
      </c>
      <c r="E7" t="s">
        <v>31</v>
      </c>
      <c r="F7" t="s">
        <v>59</v>
      </c>
      <c r="G7" t="s">
        <v>60</v>
      </c>
      <c r="H7" t="s">
        <v>40</v>
      </c>
      <c r="I7">
        <v>1</v>
      </c>
      <c r="J7" s="2">
        <v>145</v>
      </c>
      <c r="K7" s="3">
        <v>0.05</v>
      </c>
    </row>
    <row r="8" spans="1:11">
      <c r="A8" t="s">
        <v>61</v>
      </c>
      <c r="B8" s="1">
        <v>46043</v>
      </c>
      <c r="C8" t="s">
        <v>29</v>
      </c>
      <c r="D8" t="s">
        <v>36</v>
      </c>
      <c r="E8" t="s">
        <v>37</v>
      </c>
      <c r="F8" t="s">
        <v>62</v>
      </c>
      <c r="G8" t="s">
        <v>63</v>
      </c>
      <c r="H8" t="s">
        <v>46</v>
      </c>
      <c r="I8">
        <v>2</v>
      </c>
      <c r="J8" s="2">
        <v>185</v>
      </c>
      <c r="K8" s="3">
        <v>0</v>
      </c>
    </row>
    <row r="9" spans="1:11">
      <c r="A9" t="s">
        <v>64</v>
      </c>
      <c r="B9" s="1">
        <v>46046</v>
      </c>
      <c r="C9" t="s">
        <v>42</v>
      </c>
      <c r="D9" t="s">
        <v>43</v>
      </c>
      <c r="E9" t="s">
        <v>37</v>
      </c>
      <c r="F9" t="s">
        <v>65</v>
      </c>
      <c r="G9" t="s">
        <v>66</v>
      </c>
      <c r="H9" t="s">
        <v>53</v>
      </c>
      <c r="I9">
        <v>3</v>
      </c>
      <c r="J9" s="2">
        <v>70</v>
      </c>
      <c r="K9" s="3">
        <v>0.1</v>
      </c>
    </row>
    <row r="10" spans="1:11">
      <c r="A10" t="s">
        <v>67</v>
      </c>
      <c r="B10" s="1">
        <v>46025</v>
      </c>
      <c r="C10" t="s">
        <v>48</v>
      </c>
      <c r="D10" t="s">
        <v>49</v>
      </c>
      <c r="E10" t="s">
        <v>50</v>
      </c>
      <c r="F10" t="s">
        <v>68</v>
      </c>
      <c r="G10" t="s">
        <v>69</v>
      </c>
      <c r="H10" t="s">
        <v>34</v>
      </c>
      <c r="I10">
        <v>4</v>
      </c>
      <c r="J10" s="2">
        <v>175</v>
      </c>
      <c r="K10" s="3">
        <v>0</v>
      </c>
    </row>
    <row r="11" spans="1:11">
      <c r="A11" t="s">
        <v>70</v>
      </c>
      <c r="B11" s="1">
        <v>46028</v>
      </c>
      <c r="C11" t="s">
        <v>48</v>
      </c>
      <c r="D11" t="s">
        <v>55</v>
      </c>
      <c r="E11" t="s">
        <v>31</v>
      </c>
      <c r="F11" t="s">
        <v>32</v>
      </c>
      <c r="G11" t="s">
        <v>71</v>
      </c>
      <c r="H11" t="s">
        <v>40</v>
      </c>
      <c r="I11">
        <v>5</v>
      </c>
      <c r="J11" s="2">
        <v>310</v>
      </c>
      <c r="K11" s="3">
        <v>0</v>
      </c>
    </row>
    <row r="12" spans="1:11">
      <c r="A12" t="s">
        <v>72</v>
      </c>
      <c r="B12" s="1">
        <v>46062</v>
      </c>
      <c r="C12" t="s">
        <v>29</v>
      </c>
      <c r="D12" t="s">
        <v>30</v>
      </c>
      <c r="E12" t="s">
        <v>37</v>
      </c>
      <c r="F12" t="s">
        <v>38</v>
      </c>
      <c r="G12" t="s">
        <v>33</v>
      </c>
      <c r="H12" t="s">
        <v>46</v>
      </c>
      <c r="I12">
        <v>1</v>
      </c>
      <c r="J12" s="2">
        <v>120</v>
      </c>
      <c r="K12" s="3">
        <v>0.05</v>
      </c>
    </row>
    <row r="13" spans="1:11">
      <c r="A13" t="s">
        <v>73</v>
      </c>
      <c r="B13" s="1">
        <v>46065</v>
      </c>
      <c r="C13" t="s">
        <v>29</v>
      </c>
      <c r="D13" t="s">
        <v>36</v>
      </c>
      <c r="E13" t="s">
        <v>37</v>
      </c>
      <c r="F13" t="s">
        <v>44</v>
      </c>
      <c r="G13" t="s">
        <v>39</v>
      </c>
      <c r="H13" t="s">
        <v>53</v>
      </c>
      <c r="I13">
        <v>2</v>
      </c>
      <c r="J13" s="2">
        <v>95</v>
      </c>
      <c r="K13" s="3">
        <v>0</v>
      </c>
    </row>
    <row r="14" spans="1:11">
      <c r="A14" t="s">
        <v>74</v>
      </c>
      <c r="B14" s="1">
        <v>46068</v>
      </c>
      <c r="C14" t="s">
        <v>42</v>
      </c>
      <c r="D14" t="s">
        <v>43</v>
      </c>
      <c r="E14" t="s">
        <v>50</v>
      </c>
      <c r="F14" t="s">
        <v>51</v>
      </c>
      <c r="G14" t="s">
        <v>45</v>
      </c>
      <c r="H14" t="s">
        <v>34</v>
      </c>
      <c r="I14">
        <v>3</v>
      </c>
      <c r="J14" s="2">
        <v>260</v>
      </c>
      <c r="K14" s="3">
        <v>0</v>
      </c>
    </row>
    <row r="15" spans="1:11">
      <c r="A15" t="s">
        <v>75</v>
      </c>
      <c r="B15" s="1">
        <v>46071</v>
      </c>
      <c r="C15" t="s">
        <v>48</v>
      </c>
      <c r="D15" t="s">
        <v>49</v>
      </c>
      <c r="E15" t="s">
        <v>31</v>
      </c>
      <c r="F15" t="s">
        <v>56</v>
      </c>
      <c r="G15" t="s">
        <v>52</v>
      </c>
      <c r="H15" t="s">
        <v>40</v>
      </c>
      <c r="I15">
        <v>4</v>
      </c>
      <c r="J15" s="2">
        <v>230</v>
      </c>
      <c r="K15" s="3">
        <v>0</v>
      </c>
    </row>
    <row r="16" spans="1:11">
      <c r="A16" t="s">
        <v>76</v>
      </c>
      <c r="B16" s="1">
        <v>46074</v>
      </c>
      <c r="C16" t="s">
        <v>48</v>
      </c>
      <c r="D16" t="s">
        <v>55</v>
      </c>
      <c r="E16" t="s">
        <v>31</v>
      </c>
      <c r="F16" t="s">
        <v>59</v>
      </c>
      <c r="G16" t="s">
        <v>57</v>
      </c>
      <c r="H16" t="s">
        <v>46</v>
      </c>
      <c r="I16">
        <v>5</v>
      </c>
      <c r="J16" s="2">
        <v>145</v>
      </c>
      <c r="K16" s="3">
        <v>0.1</v>
      </c>
    </row>
    <row r="17" spans="1:11">
      <c r="A17" t="s">
        <v>77</v>
      </c>
      <c r="B17" s="1">
        <v>46077</v>
      </c>
      <c r="C17" t="s">
        <v>29</v>
      </c>
      <c r="D17" t="s">
        <v>30</v>
      </c>
      <c r="E17" t="s">
        <v>37</v>
      </c>
      <c r="F17" t="s">
        <v>62</v>
      </c>
      <c r="G17" t="s">
        <v>60</v>
      </c>
      <c r="H17" t="s">
        <v>53</v>
      </c>
      <c r="I17">
        <v>1</v>
      </c>
      <c r="J17" s="2">
        <v>185</v>
      </c>
      <c r="K17" s="3">
        <v>0.05</v>
      </c>
    </row>
    <row r="18" spans="1:11">
      <c r="A18" t="s">
        <v>78</v>
      </c>
      <c r="B18" s="1">
        <v>46056</v>
      </c>
      <c r="C18" t="s">
        <v>29</v>
      </c>
      <c r="D18" t="s">
        <v>36</v>
      </c>
      <c r="E18" t="s">
        <v>50</v>
      </c>
      <c r="F18" t="s">
        <v>65</v>
      </c>
      <c r="G18" t="s">
        <v>63</v>
      </c>
      <c r="H18" t="s">
        <v>34</v>
      </c>
      <c r="I18">
        <v>2</v>
      </c>
      <c r="J18" s="2">
        <v>70</v>
      </c>
      <c r="K18" s="3">
        <v>0</v>
      </c>
    </row>
    <row r="19" spans="1:11">
      <c r="A19" t="s">
        <v>79</v>
      </c>
      <c r="B19" s="1">
        <v>46059</v>
      </c>
      <c r="C19" t="s">
        <v>42</v>
      </c>
      <c r="D19" t="s">
        <v>43</v>
      </c>
      <c r="E19" t="s">
        <v>50</v>
      </c>
      <c r="F19" t="s">
        <v>68</v>
      </c>
      <c r="G19" t="s">
        <v>66</v>
      </c>
      <c r="H19" t="s">
        <v>40</v>
      </c>
      <c r="I19">
        <v>3</v>
      </c>
      <c r="J19" s="2">
        <v>175</v>
      </c>
      <c r="K19" s="3">
        <v>0</v>
      </c>
    </row>
    <row r="20" spans="1:11">
      <c r="A20" t="s">
        <v>80</v>
      </c>
      <c r="B20" s="1">
        <v>46062</v>
      </c>
      <c r="C20" t="s">
        <v>48</v>
      </c>
      <c r="D20" t="s">
        <v>49</v>
      </c>
      <c r="E20" t="s">
        <v>81</v>
      </c>
      <c r="F20" t="s">
        <v>32</v>
      </c>
      <c r="G20" t="s">
        <v>69</v>
      </c>
      <c r="H20" t="s">
        <v>46</v>
      </c>
      <c r="I20">
        <v>4</v>
      </c>
      <c r="J20" s="2">
        <v>310</v>
      </c>
      <c r="K20" s="3">
        <v>0</v>
      </c>
    </row>
    <row r="21" spans="1:11">
      <c r="A21" t="s">
        <v>82</v>
      </c>
      <c r="B21" s="1">
        <v>46065</v>
      </c>
      <c r="C21" t="s">
        <v>48</v>
      </c>
      <c r="D21" t="s">
        <v>55</v>
      </c>
      <c r="E21" t="s">
        <v>37</v>
      </c>
      <c r="F21" t="s">
        <v>38</v>
      </c>
      <c r="G21" t="s">
        <v>71</v>
      </c>
      <c r="H21" t="s">
        <v>53</v>
      </c>
      <c r="I21">
        <v>5</v>
      </c>
      <c r="J21" s="2">
        <v>120</v>
      </c>
      <c r="K21" s="3">
        <v>0</v>
      </c>
    </row>
    <row r="22" spans="1:11">
      <c r="A22" t="s">
        <v>83</v>
      </c>
      <c r="B22" s="1">
        <v>46096</v>
      </c>
      <c r="C22" t="s">
        <v>29</v>
      </c>
      <c r="D22" t="s">
        <v>30</v>
      </c>
      <c r="E22" t="s">
        <v>37</v>
      </c>
      <c r="F22" t="s">
        <v>44</v>
      </c>
      <c r="G22" t="s">
        <v>33</v>
      </c>
      <c r="H22" t="s">
        <v>34</v>
      </c>
      <c r="I22">
        <v>1</v>
      </c>
      <c r="J22" s="2">
        <v>95</v>
      </c>
      <c r="K22" s="3">
        <v>0.05</v>
      </c>
    </row>
    <row r="23" spans="1:11">
      <c r="A23" t="s">
        <v>84</v>
      </c>
      <c r="B23" s="1">
        <v>46099</v>
      </c>
      <c r="C23" t="s">
        <v>29</v>
      </c>
      <c r="D23" t="s">
        <v>36</v>
      </c>
      <c r="E23" t="s">
        <v>50</v>
      </c>
      <c r="F23" t="s">
        <v>51</v>
      </c>
      <c r="G23" t="s">
        <v>39</v>
      </c>
      <c r="H23" t="s">
        <v>40</v>
      </c>
      <c r="I23">
        <v>2</v>
      </c>
      <c r="J23" s="2">
        <v>260</v>
      </c>
      <c r="K23" s="3">
        <v>0.1</v>
      </c>
    </row>
    <row r="24" spans="1:11">
      <c r="A24" t="s">
        <v>85</v>
      </c>
      <c r="B24" s="1">
        <v>46102</v>
      </c>
      <c r="C24" t="s">
        <v>42</v>
      </c>
      <c r="D24" t="s">
        <v>43</v>
      </c>
      <c r="E24" t="s">
        <v>31</v>
      </c>
      <c r="F24" t="s">
        <v>56</v>
      </c>
      <c r="G24" t="s">
        <v>45</v>
      </c>
      <c r="H24" t="s">
        <v>46</v>
      </c>
      <c r="I24">
        <v>3</v>
      </c>
      <c r="J24" s="2">
        <v>230</v>
      </c>
      <c r="K24" s="3">
        <v>0</v>
      </c>
    </row>
    <row r="25" spans="1:11">
      <c r="A25" t="s">
        <v>86</v>
      </c>
      <c r="B25" s="1">
        <v>46105</v>
      </c>
      <c r="C25" t="s">
        <v>48</v>
      </c>
      <c r="D25" t="s">
        <v>49</v>
      </c>
      <c r="E25" t="s">
        <v>31</v>
      </c>
      <c r="F25" t="s">
        <v>59</v>
      </c>
      <c r="G25" t="s">
        <v>52</v>
      </c>
      <c r="H25" t="s">
        <v>53</v>
      </c>
      <c r="I25">
        <v>4</v>
      </c>
      <c r="J25" s="2">
        <v>145</v>
      </c>
      <c r="K25" s="3">
        <v>0</v>
      </c>
    </row>
    <row r="26" spans="1:11">
      <c r="A26" t="s">
        <v>87</v>
      </c>
      <c r="B26" s="1">
        <v>46084</v>
      </c>
      <c r="C26" t="s">
        <v>48</v>
      </c>
      <c r="D26" t="s">
        <v>55</v>
      </c>
      <c r="E26" t="s">
        <v>37</v>
      </c>
      <c r="F26" t="s">
        <v>62</v>
      </c>
      <c r="G26" t="s">
        <v>57</v>
      </c>
      <c r="H26" t="s">
        <v>34</v>
      </c>
      <c r="I26">
        <v>5</v>
      </c>
      <c r="J26" s="2">
        <v>185</v>
      </c>
      <c r="K26" s="3">
        <v>0</v>
      </c>
    </row>
    <row r="27" spans="1:11">
      <c r="A27" t="s">
        <v>88</v>
      </c>
      <c r="B27" s="1">
        <v>46087</v>
      </c>
      <c r="C27" t="s">
        <v>29</v>
      </c>
      <c r="D27" t="s">
        <v>30</v>
      </c>
      <c r="E27" t="s">
        <v>50</v>
      </c>
      <c r="F27" t="s">
        <v>65</v>
      </c>
      <c r="G27" t="s">
        <v>60</v>
      </c>
      <c r="H27" t="s">
        <v>40</v>
      </c>
      <c r="I27">
        <v>1</v>
      </c>
      <c r="J27" s="2">
        <v>70</v>
      </c>
      <c r="K27" s="3">
        <v>0.05</v>
      </c>
    </row>
    <row r="28" spans="1:11">
      <c r="A28" t="s">
        <v>89</v>
      </c>
      <c r="B28" s="1">
        <v>46090</v>
      </c>
      <c r="C28" t="s">
        <v>29</v>
      </c>
      <c r="D28" t="s">
        <v>36</v>
      </c>
      <c r="E28" t="s">
        <v>50</v>
      </c>
      <c r="F28" t="s">
        <v>68</v>
      </c>
      <c r="G28" t="s">
        <v>63</v>
      </c>
      <c r="H28" t="s">
        <v>46</v>
      </c>
      <c r="I28">
        <v>2</v>
      </c>
      <c r="J28" s="2">
        <v>175</v>
      </c>
      <c r="K28" s="3">
        <v>0</v>
      </c>
    </row>
    <row r="29" spans="1:11">
      <c r="A29" t="s">
        <v>90</v>
      </c>
      <c r="B29" s="1">
        <v>46093</v>
      </c>
      <c r="C29" t="s">
        <v>42</v>
      </c>
      <c r="D29" t="s">
        <v>43</v>
      </c>
      <c r="E29" t="s">
        <v>31</v>
      </c>
      <c r="F29" t="s">
        <v>32</v>
      </c>
      <c r="G29" t="s">
        <v>66</v>
      </c>
      <c r="H29" t="s">
        <v>53</v>
      </c>
      <c r="I29">
        <v>3</v>
      </c>
      <c r="J29" s="2">
        <v>310</v>
      </c>
      <c r="K29" s="3">
        <v>0</v>
      </c>
    </row>
    <row r="30" spans="1:11">
      <c r="A30" t="s">
        <v>91</v>
      </c>
      <c r="B30" s="1">
        <v>46096</v>
      </c>
      <c r="C30" t="s">
        <v>48</v>
      </c>
      <c r="D30" t="s">
        <v>49</v>
      </c>
      <c r="E30" t="s">
        <v>37</v>
      </c>
      <c r="F30" t="s">
        <v>38</v>
      </c>
      <c r="G30" t="s">
        <v>69</v>
      </c>
      <c r="H30" t="s">
        <v>34</v>
      </c>
      <c r="I30">
        <v>4</v>
      </c>
      <c r="J30" s="2">
        <v>120</v>
      </c>
      <c r="K30" s="3">
        <v>0.1</v>
      </c>
    </row>
    <row r="31" spans="1:11">
      <c r="A31" t="s">
        <v>92</v>
      </c>
      <c r="B31" s="1">
        <v>46099</v>
      </c>
      <c r="C31" t="s">
        <v>48</v>
      </c>
      <c r="D31" t="s">
        <v>55</v>
      </c>
      <c r="E31" t="s">
        <v>37</v>
      </c>
      <c r="F31" t="s">
        <v>44</v>
      </c>
      <c r="G31" t="s">
        <v>71</v>
      </c>
      <c r="H31" t="s">
        <v>40</v>
      </c>
      <c r="I31">
        <v>5</v>
      </c>
      <c r="J31" s="2">
        <v>95</v>
      </c>
      <c r="K31" s="3">
        <v>0</v>
      </c>
    </row>
    <row r="32" spans="1:11">
      <c r="A32" t="s">
        <v>93</v>
      </c>
      <c r="B32" s="1">
        <v>46133</v>
      </c>
      <c r="C32" t="s">
        <v>29</v>
      </c>
      <c r="D32" t="s">
        <v>30</v>
      </c>
      <c r="E32" t="s">
        <v>50</v>
      </c>
      <c r="F32" t="s">
        <v>51</v>
      </c>
      <c r="G32" t="s">
        <v>33</v>
      </c>
      <c r="H32" t="s">
        <v>46</v>
      </c>
      <c r="I32">
        <v>1</v>
      </c>
      <c r="J32" s="2">
        <v>260</v>
      </c>
      <c r="K32" s="3">
        <v>0.05</v>
      </c>
    </row>
    <row r="33" spans="1:11">
      <c r="A33" t="s">
        <v>94</v>
      </c>
      <c r="B33" s="1">
        <v>46136</v>
      </c>
      <c r="C33" t="s">
        <v>29</v>
      </c>
      <c r="E33" t="s">
        <v>31</v>
      </c>
      <c r="F33" t="s">
        <v>56</v>
      </c>
      <c r="G33" t="s">
        <v>39</v>
      </c>
      <c r="H33" t="s">
        <v>53</v>
      </c>
      <c r="I33">
        <v>2</v>
      </c>
      <c r="J33" s="2">
        <v>230</v>
      </c>
      <c r="K33" s="3">
        <v>0</v>
      </c>
    </row>
    <row r="34" spans="1:11">
      <c r="A34" t="s">
        <v>95</v>
      </c>
      <c r="B34" s="1">
        <v>46115</v>
      </c>
      <c r="C34" t="s">
        <v>42</v>
      </c>
      <c r="D34" t="s">
        <v>43</v>
      </c>
      <c r="E34" t="s">
        <v>31</v>
      </c>
      <c r="F34" t="s">
        <v>59</v>
      </c>
      <c r="G34" t="s">
        <v>45</v>
      </c>
      <c r="H34" t="s">
        <v>34</v>
      </c>
      <c r="I34">
        <v>3</v>
      </c>
      <c r="J34" s="2">
        <v>145</v>
      </c>
      <c r="K34" s="3">
        <v>0</v>
      </c>
    </row>
    <row r="35" spans="1:11">
      <c r="A35" t="s">
        <v>96</v>
      </c>
      <c r="B35" s="1">
        <v>46118</v>
      </c>
      <c r="C35" t="s">
        <v>48</v>
      </c>
      <c r="D35" t="s">
        <v>49</v>
      </c>
      <c r="E35" t="s">
        <v>37</v>
      </c>
      <c r="F35" t="s">
        <v>62</v>
      </c>
      <c r="G35" t="s">
        <v>52</v>
      </c>
      <c r="H35" t="s">
        <v>40</v>
      </c>
      <c r="I35">
        <v>4</v>
      </c>
      <c r="J35" s="2">
        <v>185</v>
      </c>
      <c r="K35" s="3">
        <v>0</v>
      </c>
    </row>
    <row r="36" spans="1:11">
      <c r="A36" t="s">
        <v>97</v>
      </c>
      <c r="B36" s="1">
        <v>46121</v>
      </c>
      <c r="C36" t="s">
        <v>48</v>
      </c>
      <c r="D36" t="s">
        <v>55</v>
      </c>
      <c r="E36" t="s">
        <v>50</v>
      </c>
      <c r="F36" t="s">
        <v>65</v>
      </c>
      <c r="G36" t="s">
        <v>57</v>
      </c>
      <c r="H36" t="s">
        <v>46</v>
      </c>
      <c r="I36">
        <v>5</v>
      </c>
      <c r="J36" s="2">
        <v>70</v>
      </c>
      <c r="K36" s="3">
        <v>0</v>
      </c>
    </row>
    <row r="37" spans="1:11">
      <c r="A37" t="s">
        <v>98</v>
      </c>
      <c r="B37" s="1">
        <v>46124</v>
      </c>
      <c r="C37" t="s">
        <v>29</v>
      </c>
      <c r="D37" t="s">
        <v>30</v>
      </c>
      <c r="E37" t="s">
        <v>50</v>
      </c>
      <c r="F37" t="s">
        <v>68</v>
      </c>
      <c r="G37" t="s">
        <v>60</v>
      </c>
      <c r="H37" t="s">
        <v>53</v>
      </c>
      <c r="I37">
        <v>1</v>
      </c>
      <c r="J37" s="2">
        <v>175</v>
      </c>
      <c r="K37" s="3">
        <v>0.1</v>
      </c>
    </row>
    <row r="38" spans="1:11">
      <c r="A38" t="s">
        <v>99</v>
      </c>
      <c r="B38" s="1">
        <v>46127</v>
      </c>
      <c r="C38" t="s">
        <v>29</v>
      </c>
      <c r="D38" t="s">
        <v>36</v>
      </c>
      <c r="E38" t="s">
        <v>31</v>
      </c>
      <c r="F38" t="s">
        <v>32</v>
      </c>
      <c r="G38" t="s">
        <v>63</v>
      </c>
      <c r="H38" t="s">
        <v>34</v>
      </c>
      <c r="I38">
        <v>2</v>
      </c>
      <c r="J38" s="2">
        <v>310</v>
      </c>
      <c r="K38" s="3">
        <v>0</v>
      </c>
    </row>
    <row r="39" spans="1:11">
      <c r="A39" t="s">
        <v>100</v>
      </c>
      <c r="B39" s="1">
        <v>46130</v>
      </c>
      <c r="C39" t="s">
        <v>42</v>
      </c>
      <c r="D39" t="s">
        <v>43</v>
      </c>
      <c r="E39" t="s">
        <v>37</v>
      </c>
      <c r="F39" t="s">
        <v>38</v>
      </c>
      <c r="G39" t="s">
        <v>66</v>
      </c>
      <c r="H39" t="s">
        <v>40</v>
      </c>
      <c r="I39">
        <v>3</v>
      </c>
      <c r="J39" s="2">
        <v>120</v>
      </c>
      <c r="K39" s="3">
        <v>0</v>
      </c>
    </row>
    <row r="40" spans="1:11">
      <c r="A40" t="s">
        <v>101</v>
      </c>
      <c r="B40" s="1">
        <v>46133</v>
      </c>
      <c r="C40" t="s">
        <v>48</v>
      </c>
      <c r="D40" t="s">
        <v>49</v>
      </c>
      <c r="E40" t="s">
        <v>37</v>
      </c>
      <c r="F40" t="s">
        <v>44</v>
      </c>
      <c r="G40" t="s">
        <v>69</v>
      </c>
      <c r="H40" t="s">
        <v>46</v>
      </c>
      <c r="I40">
        <v>4</v>
      </c>
      <c r="J40" s="2">
        <v>95</v>
      </c>
      <c r="K40" s="3">
        <v>0</v>
      </c>
    </row>
    <row r="41" spans="1:11">
      <c r="A41" t="s">
        <v>102</v>
      </c>
      <c r="B41" s="1">
        <v>46136</v>
      </c>
      <c r="C41" t="s">
        <v>48</v>
      </c>
      <c r="D41" t="s">
        <v>55</v>
      </c>
      <c r="E41" t="s">
        <v>50</v>
      </c>
      <c r="F41" t="s">
        <v>51</v>
      </c>
      <c r="G41" t="s">
        <v>71</v>
      </c>
      <c r="H41" t="s">
        <v>53</v>
      </c>
      <c r="I41">
        <v>5</v>
      </c>
      <c r="J41" s="2">
        <v>260</v>
      </c>
      <c r="K41" s="3">
        <v>0</v>
      </c>
    </row>
    <row r="42" spans="1:11">
      <c r="A42" t="s">
        <v>103</v>
      </c>
      <c r="B42" s="1">
        <v>46145</v>
      </c>
      <c r="C42" t="s">
        <v>29</v>
      </c>
      <c r="D42" t="s">
        <v>30</v>
      </c>
      <c r="E42" t="s">
        <v>31</v>
      </c>
      <c r="F42" t="s">
        <v>56</v>
      </c>
      <c r="G42" t="s">
        <v>33</v>
      </c>
      <c r="H42" t="s">
        <v>34</v>
      </c>
      <c r="I42">
        <v>1</v>
      </c>
      <c r="J42" s="2">
        <v>230</v>
      </c>
      <c r="K42" s="3">
        <v>0.05</v>
      </c>
    </row>
    <row r="43" spans="1:11">
      <c r="A43" t="s">
        <v>104</v>
      </c>
      <c r="B43" s="1">
        <v>46148</v>
      </c>
      <c r="C43" t="s">
        <v>29</v>
      </c>
      <c r="D43" t="s">
        <v>36</v>
      </c>
      <c r="E43" t="s">
        <v>31</v>
      </c>
      <c r="F43" t="s">
        <v>59</v>
      </c>
      <c r="G43" t="s">
        <v>39</v>
      </c>
      <c r="H43" t="s">
        <v>40</v>
      </c>
      <c r="I43">
        <v>2</v>
      </c>
      <c r="J43" s="2">
        <v>145</v>
      </c>
      <c r="K43" s="3">
        <v>0</v>
      </c>
    </row>
    <row r="44" spans="1:11">
      <c r="A44" t="s">
        <v>105</v>
      </c>
      <c r="B44" s="1">
        <v>46151</v>
      </c>
      <c r="C44" t="s">
        <v>42</v>
      </c>
      <c r="D44" t="s">
        <v>43</v>
      </c>
      <c r="E44" t="s">
        <v>37</v>
      </c>
      <c r="F44" t="s">
        <v>62</v>
      </c>
      <c r="G44" t="s">
        <v>45</v>
      </c>
      <c r="H44" t="s">
        <v>46</v>
      </c>
      <c r="I44">
        <v>3</v>
      </c>
      <c r="J44" s="2">
        <v>185</v>
      </c>
      <c r="K44" s="3">
        <v>0.1</v>
      </c>
    </row>
    <row r="45" spans="1:11">
      <c r="A45" t="s">
        <v>106</v>
      </c>
      <c r="B45" s="1">
        <v>46154</v>
      </c>
      <c r="C45" t="s">
        <v>48</v>
      </c>
      <c r="D45" t="s">
        <v>49</v>
      </c>
      <c r="E45" t="s">
        <v>50</v>
      </c>
      <c r="F45" t="s">
        <v>65</v>
      </c>
      <c r="G45" t="s">
        <v>52</v>
      </c>
      <c r="H45" t="s">
        <v>53</v>
      </c>
      <c r="I45">
        <v>4</v>
      </c>
      <c r="J45" s="2">
        <v>70</v>
      </c>
      <c r="K45" s="3">
        <v>0</v>
      </c>
    </row>
    <row r="46" spans="1:11">
      <c r="A46" t="s">
        <v>107</v>
      </c>
      <c r="B46" s="1">
        <v>46157</v>
      </c>
      <c r="C46" t="s">
        <v>48</v>
      </c>
      <c r="D46" t="s">
        <v>55</v>
      </c>
      <c r="E46" t="s">
        <v>50</v>
      </c>
      <c r="F46" t="s">
        <v>68</v>
      </c>
      <c r="G46" t="s">
        <v>57</v>
      </c>
      <c r="I46">
        <v>5</v>
      </c>
      <c r="J46" s="2">
        <v>175</v>
      </c>
      <c r="K46" s="3">
        <v>0</v>
      </c>
    </row>
    <row r="47" spans="1:11">
      <c r="A47" t="s">
        <v>108</v>
      </c>
      <c r="B47" s="1">
        <v>46160</v>
      </c>
      <c r="C47" t="s">
        <v>29</v>
      </c>
      <c r="D47" t="s">
        <v>30</v>
      </c>
      <c r="E47" t="s">
        <v>31</v>
      </c>
      <c r="F47" t="s">
        <v>32</v>
      </c>
      <c r="G47" t="s">
        <v>60</v>
      </c>
      <c r="H47" t="s">
        <v>40</v>
      </c>
      <c r="I47">
        <v>1</v>
      </c>
      <c r="J47" s="2">
        <v>310</v>
      </c>
      <c r="K47" s="3">
        <v>0.05</v>
      </c>
    </row>
    <row r="48" spans="1:11">
      <c r="A48" t="s">
        <v>109</v>
      </c>
      <c r="B48" s="1">
        <v>46163</v>
      </c>
      <c r="C48" t="s">
        <v>29</v>
      </c>
      <c r="D48" t="s">
        <v>36</v>
      </c>
      <c r="E48" t="s">
        <v>37</v>
      </c>
      <c r="F48" t="s">
        <v>38</v>
      </c>
      <c r="G48" t="s">
        <v>63</v>
      </c>
      <c r="H48" t="s">
        <v>46</v>
      </c>
      <c r="I48">
        <v>2</v>
      </c>
      <c r="J48" s="2">
        <v>120</v>
      </c>
      <c r="K48" s="3">
        <v>0</v>
      </c>
    </row>
    <row r="49" spans="1:11">
      <c r="A49" t="s">
        <v>110</v>
      </c>
      <c r="B49" s="1">
        <v>46166</v>
      </c>
      <c r="C49" t="s">
        <v>42</v>
      </c>
      <c r="D49" t="s">
        <v>43</v>
      </c>
      <c r="E49" t="s">
        <v>37</v>
      </c>
      <c r="F49" t="s">
        <v>44</v>
      </c>
      <c r="G49" t="s">
        <v>66</v>
      </c>
      <c r="H49" t="s">
        <v>53</v>
      </c>
      <c r="I49">
        <v>3</v>
      </c>
      <c r="J49" s="2">
        <v>95</v>
      </c>
      <c r="K49" s="3">
        <v>0</v>
      </c>
    </row>
    <row r="50" spans="1:11">
      <c r="A50" t="s">
        <v>111</v>
      </c>
      <c r="B50" s="1">
        <v>46145</v>
      </c>
      <c r="C50" t="s">
        <v>48</v>
      </c>
      <c r="D50" t="s">
        <v>49</v>
      </c>
      <c r="E50" t="s">
        <v>50</v>
      </c>
      <c r="F50" t="s">
        <v>51</v>
      </c>
      <c r="G50" t="s">
        <v>69</v>
      </c>
      <c r="H50" t="s">
        <v>34</v>
      </c>
      <c r="I50">
        <v>4</v>
      </c>
      <c r="J50" s="2">
        <v>260</v>
      </c>
      <c r="K50" s="3">
        <v>0</v>
      </c>
    </row>
    <row r="51" spans="1:11">
      <c r="A51" t="s">
        <v>112</v>
      </c>
      <c r="B51" s="1">
        <v>46148</v>
      </c>
      <c r="C51" t="s">
        <v>48</v>
      </c>
      <c r="D51" t="s">
        <v>55</v>
      </c>
      <c r="E51" t="s">
        <v>31</v>
      </c>
      <c r="F51" t="s">
        <v>56</v>
      </c>
      <c r="G51" t="s">
        <v>71</v>
      </c>
      <c r="H51" t="s">
        <v>40</v>
      </c>
      <c r="I51">
        <v>5</v>
      </c>
      <c r="J51" s="2">
        <v>230</v>
      </c>
      <c r="K51" s="3">
        <v>0.1</v>
      </c>
    </row>
    <row r="52" spans="1:11">
      <c r="A52" t="s">
        <v>113</v>
      </c>
      <c r="B52" s="1">
        <v>46182</v>
      </c>
      <c r="C52" t="s">
        <v>29</v>
      </c>
      <c r="D52" t="s">
        <v>30</v>
      </c>
      <c r="E52" t="s">
        <v>31</v>
      </c>
      <c r="F52" t="s">
        <v>59</v>
      </c>
      <c r="G52" t="s">
        <v>33</v>
      </c>
      <c r="H52" t="s">
        <v>46</v>
      </c>
      <c r="I52">
        <v>1</v>
      </c>
      <c r="J52" s="2">
        <v>145</v>
      </c>
      <c r="K52" s="3">
        <v>0.05</v>
      </c>
    </row>
    <row r="53" spans="1:11">
      <c r="A53" t="s">
        <v>114</v>
      </c>
      <c r="B53" s="1">
        <v>46185</v>
      </c>
      <c r="C53" t="s">
        <v>29</v>
      </c>
      <c r="D53" t="s">
        <v>36</v>
      </c>
      <c r="E53" t="s">
        <v>37</v>
      </c>
      <c r="F53" t="s">
        <v>62</v>
      </c>
      <c r="G53" t="s">
        <v>39</v>
      </c>
      <c r="H53" t="s">
        <v>53</v>
      </c>
      <c r="I53">
        <v>2</v>
      </c>
      <c r="J53" s="2">
        <v>185</v>
      </c>
      <c r="K53" s="3">
        <v>0</v>
      </c>
    </row>
    <row r="54" spans="1:11">
      <c r="A54" t="s">
        <v>115</v>
      </c>
      <c r="B54" s="1">
        <v>46188</v>
      </c>
      <c r="C54" t="s">
        <v>42</v>
      </c>
      <c r="D54" t="s">
        <v>43</v>
      </c>
      <c r="E54" t="s">
        <v>50</v>
      </c>
      <c r="F54" t="s">
        <v>65</v>
      </c>
      <c r="G54" t="s">
        <v>45</v>
      </c>
      <c r="H54" t="s">
        <v>34</v>
      </c>
      <c r="I54">
        <v>3</v>
      </c>
      <c r="J54" s="2">
        <v>70</v>
      </c>
      <c r="K54" s="3">
        <v>0</v>
      </c>
    </row>
    <row r="55" spans="1:11">
      <c r="A55" t="s">
        <v>116</v>
      </c>
      <c r="B55" s="1">
        <v>46191</v>
      </c>
      <c r="C55" t="s">
        <v>48</v>
      </c>
      <c r="D55" t="s">
        <v>49</v>
      </c>
      <c r="E55" t="s">
        <v>50</v>
      </c>
      <c r="F55" t="s">
        <v>68</v>
      </c>
      <c r="G55" t="s">
        <v>52</v>
      </c>
      <c r="H55" t="s">
        <v>40</v>
      </c>
      <c r="I55">
        <v>4</v>
      </c>
      <c r="J55" s="2">
        <v>175</v>
      </c>
      <c r="K55" s="3">
        <v>0</v>
      </c>
    </row>
    <row r="56" spans="1:11">
      <c r="A56" t="s">
        <v>117</v>
      </c>
      <c r="B56" s="1">
        <v>46194</v>
      </c>
      <c r="C56" t="s">
        <v>48</v>
      </c>
      <c r="D56" t="s">
        <v>55</v>
      </c>
      <c r="E56" t="s">
        <v>31</v>
      </c>
      <c r="F56" t="s">
        <v>32</v>
      </c>
      <c r="G56" t="s">
        <v>57</v>
      </c>
      <c r="H56" t="s">
        <v>46</v>
      </c>
      <c r="I56">
        <v>5</v>
      </c>
      <c r="J56" s="2">
        <v>310</v>
      </c>
      <c r="K56" s="3">
        <v>0</v>
      </c>
    </row>
    <row r="57" spans="1:11">
      <c r="A57" t="s">
        <v>118</v>
      </c>
      <c r="B57" s="1">
        <v>46197</v>
      </c>
      <c r="C57" t="s">
        <v>29</v>
      </c>
      <c r="D57" t="s">
        <v>30</v>
      </c>
      <c r="E57" t="s">
        <v>37</v>
      </c>
      <c r="F57" t="s">
        <v>38</v>
      </c>
      <c r="G57" t="s">
        <v>60</v>
      </c>
      <c r="H57" t="s">
        <v>53</v>
      </c>
      <c r="I57">
        <v>1</v>
      </c>
      <c r="J57" s="2">
        <v>120</v>
      </c>
      <c r="K57" s="3">
        <v>0.05</v>
      </c>
    </row>
    <row r="58" spans="1:11">
      <c r="A58" t="s">
        <v>119</v>
      </c>
      <c r="B58" s="1">
        <v>46176</v>
      </c>
      <c r="C58" t="s">
        <v>29</v>
      </c>
      <c r="D58" t="s">
        <v>36</v>
      </c>
      <c r="E58" t="s">
        <v>37</v>
      </c>
      <c r="F58" t="s">
        <v>44</v>
      </c>
      <c r="G58" t="s">
        <v>63</v>
      </c>
      <c r="H58" t="s">
        <v>34</v>
      </c>
      <c r="I58">
        <v>2</v>
      </c>
      <c r="J58" s="2">
        <v>95</v>
      </c>
      <c r="K58" s="3">
        <v>0.1</v>
      </c>
    </row>
    <row r="59" spans="1:11">
      <c r="A59" t="s">
        <v>120</v>
      </c>
      <c r="B59" s="1">
        <v>46179</v>
      </c>
      <c r="C59" t="s">
        <v>42</v>
      </c>
      <c r="D59" t="s">
        <v>43</v>
      </c>
      <c r="E59" t="s">
        <v>50</v>
      </c>
      <c r="F59" t="s">
        <v>51</v>
      </c>
      <c r="G59" t="s">
        <v>66</v>
      </c>
      <c r="H59" t="s">
        <v>40</v>
      </c>
      <c r="I59">
        <v>3</v>
      </c>
      <c r="J59" s="2">
        <v>260</v>
      </c>
      <c r="K59" s="3">
        <v>0</v>
      </c>
    </row>
    <row r="60" spans="1:11">
      <c r="A60" t="s">
        <v>121</v>
      </c>
      <c r="B60" s="1">
        <v>46182</v>
      </c>
      <c r="C60" t="s">
        <v>48</v>
      </c>
      <c r="D60" t="s">
        <v>49</v>
      </c>
      <c r="E60" t="s">
        <v>31</v>
      </c>
      <c r="F60" t="s">
        <v>56</v>
      </c>
      <c r="G60" t="s">
        <v>69</v>
      </c>
      <c r="H60" t="s">
        <v>46</v>
      </c>
      <c r="I60">
        <v>4</v>
      </c>
      <c r="J60" s="2">
        <v>230</v>
      </c>
      <c r="K60" s="3">
        <v>0</v>
      </c>
    </row>
    <row r="61" spans="1:11">
      <c r="A61" t="s">
        <v>122</v>
      </c>
      <c r="B61" s="1">
        <v>46185</v>
      </c>
      <c r="C61" t="s">
        <v>48</v>
      </c>
      <c r="D61" t="s">
        <v>55</v>
      </c>
      <c r="E61" t="s">
        <v>31</v>
      </c>
      <c r="F61" t="s">
        <v>59</v>
      </c>
      <c r="G61" t="s">
        <v>71</v>
      </c>
      <c r="H61" t="s">
        <v>53</v>
      </c>
      <c r="I61">
        <v>5</v>
      </c>
      <c r="J61" s="2">
        <v>145</v>
      </c>
      <c r="K61" s="3">
        <v>0</v>
      </c>
    </row>
    <row r="62" spans="1:11">
      <c r="A62" t="s">
        <v>74</v>
      </c>
      <c r="B62" s="1">
        <v>46068</v>
      </c>
      <c r="C62" t="s">
        <v>42</v>
      </c>
      <c r="D62" t="s">
        <v>43</v>
      </c>
      <c r="E62" t="s">
        <v>50</v>
      </c>
      <c r="F62" t="s">
        <v>51</v>
      </c>
      <c r="G62" t="s">
        <v>45</v>
      </c>
      <c r="H62" t="s">
        <v>34</v>
      </c>
      <c r="I62">
        <v>3</v>
      </c>
      <c r="J62" s="2">
        <v>260</v>
      </c>
      <c r="K62" s="3">
        <v>0</v>
      </c>
    </row>
    <row r="63" spans="1:11">
      <c r="A63" t="s">
        <v>100</v>
      </c>
      <c r="B63" s="1">
        <v>46130</v>
      </c>
      <c r="C63" t="s">
        <v>42</v>
      </c>
      <c r="D63" t="s">
        <v>43</v>
      </c>
      <c r="E63" t="s">
        <v>37</v>
      </c>
      <c r="F63" t="s">
        <v>38</v>
      </c>
      <c r="G63" t="s">
        <v>66</v>
      </c>
      <c r="H63" t="s">
        <v>40</v>
      </c>
      <c r="I63">
        <v>3</v>
      </c>
      <c r="J63" s="2">
        <v>120</v>
      </c>
      <c r="K63" s="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89F7-C545-4B1B-9B18-99F811E1B4E2}">
  <dimension ref="A1:L61"/>
  <sheetViews>
    <sheetView showGridLines="0" topLeftCell="A2" workbookViewId="0">
      <selection activeCell="F25" sqref="F25"/>
    </sheetView>
  </sheetViews>
  <sheetFormatPr baseColWidth="10" defaultColWidth="8.88671875" defaultRowHeight="14.4"/>
  <cols>
    <col min="1" max="1" width="10.88671875" customWidth="1"/>
    <col min="2" max="2" width="10.33203125" bestFit="1" customWidth="1"/>
    <col min="3" max="3" width="8.21875" customWidth="1"/>
    <col min="4" max="5" width="10.21875" customWidth="1"/>
    <col min="6" max="6" width="28" customWidth="1"/>
    <col min="7" max="7" width="20" customWidth="1"/>
    <col min="8" max="8" width="10.44140625" customWidth="1"/>
    <col min="9" max="9" width="9.88671875" customWidth="1"/>
    <col min="10" max="10" width="15" customWidth="1"/>
    <col min="11" max="11" width="11.109375" customWidth="1"/>
    <col min="12" max="12" width="11.21875" style="12" bestFit="1" customWidth="1"/>
  </cols>
  <sheetData>
    <row r="1" spans="1:1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s="11" t="s">
        <v>123</v>
      </c>
    </row>
    <row r="2" spans="1:12">
      <c r="A2" t="s">
        <v>28</v>
      </c>
      <c r="B2" s="1">
        <v>46025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</v>
      </c>
      <c r="J2" s="2">
        <v>310</v>
      </c>
      <c r="K2" s="3">
        <v>0.1</v>
      </c>
      <c r="L2" s="12">
        <f>VentasRawTable3[[#This Row],[Cantidad]]*VentasRawTable3[[#This Row],[Precio_Unitario]]*(1-VentasRawTable3[[#This Row],[Descuento]])</f>
        <v>279</v>
      </c>
    </row>
    <row r="3" spans="1:12">
      <c r="A3" t="s">
        <v>35</v>
      </c>
      <c r="B3" s="1">
        <v>46028</v>
      </c>
      <c r="C3" t="s">
        <v>29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>
        <v>2</v>
      </c>
      <c r="J3" s="2">
        <v>120</v>
      </c>
      <c r="K3" s="3">
        <v>0</v>
      </c>
      <c r="L3" s="12">
        <f>VentasRawTable3[[#This Row],[Cantidad]]*VentasRawTable3[[#This Row],[Precio_Unitario]]*(1-VentasRawTable3[[#This Row],[Descuento]])</f>
        <v>240</v>
      </c>
    </row>
    <row r="4" spans="1:12">
      <c r="A4" t="s">
        <v>41</v>
      </c>
      <c r="B4" s="1">
        <v>46031</v>
      </c>
      <c r="C4" t="s">
        <v>42</v>
      </c>
      <c r="D4" t="s">
        <v>43</v>
      </c>
      <c r="E4" t="s">
        <v>37</v>
      </c>
      <c r="F4" t="s">
        <v>44</v>
      </c>
      <c r="G4" t="s">
        <v>45</v>
      </c>
      <c r="H4" t="s">
        <v>46</v>
      </c>
      <c r="I4">
        <v>3</v>
      </c>
      <c r="J4" s="2">
        <v>95</v>
      </c>
      <c r="K4" s="3">
        <v>0</v>
      </c>
      <c r="L4" s="12">
        <f>VentasRawTable3[[#This Row],[Cantidad]]*VentasRawTable3[[#This Row],[Precio_Unitario]]*(1-VentasRawTable3[[#This Row],[Descuento]])</f>
        <v>285</v>
      </c>
    </row>
    <row r="5" spans="1:12">
      <c r="A5" t="s">
        <v>47</v>
      </c>
      <c r="B5" s="1">
        <v>46034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>
        <v>4</v>
      </c>
      <c r="J5" s="2">
        <v>260</v>
      </c>
      <c r="K5" s="3">
        <v>0</v>
      </c>
      <c r="L5" s="12">
        <f>VentasRawTable3[[#This Row],[Cantidad]]*VentasRawTable3[[#This Row],[Precio_Unitario]]*(1-VentasRawTable3[[#This Row],[Descuento]])</f>
        <v>1040</v>
      </c>
    </row>
    <row r="6" spans="1:12">
      <c r="A6" t="s">
        <v>54</v>
      </c>
      <c r="B6" s="1">
        <v>46037</v>
      </c>
      <c r="C6" t="s">
        <v>48</v>
      </c>
      <c r="D6" t="s">
        <v>55</v>
      </c>
      <c r="E6" t="s">
        <v>31</v>
      </c>
      <c r="F6" t="s">
        <v>56</v>
      </c>
      <c r="G6" t="s">
        <v>57</v>
      </c>
      <c r="H6" t="s">
        <v>34</v>
      </c>
      <c r="I6">
        <v>5</v>
      </c>
      <c r="J6" s="2">
        <v>230</v>
      </c>
      <c r="K6" s="3">
        <v>0</v>
      </c>
      <c r="L6" s="12">
        <f>VentasRawTable3[[#This Row],[Cantidad]]*VentasRawTable3[[#This Row],[Precio_Unitario]]*(1-VentasRawTable3[[#This Row],[Descuento]])</f>
        <v>1150</v>
      </c>
    </row>
    <row r="7" spans="1:12">
      <c r="A7" t="s">
        <v>58</v>
      </c>
      <c r="B7" s="1">
        <v>46040</v>
      </c>
      <c r="C7" t="s">
        <v>29</v>
      </c>
      <c r="D7" t="s">
        <v>30</v>
      </c>
      <c r="E7" t="s">
        <v>31</v>
      </c>
      <c r="F7" t="s">
        <v>59</v>
      </c>
      <c r="G7" t="s">
        <v>60</v>
      </c>
      <c r="H7" t="s">
        <v>40</v>
      </c>
      <c r="I7">
        <v>1</v>
      </c>
      <c r="J7" s="2">
        <v>145</v>
      </c>
      <c r="K7" s="3">
        <v>0.05</v>
      </c>
      <c r="L7" s="12">
        <f>VentasRawTable3[[#This Row],[Cantidad]]*VentasRawTable3[[#This Row],[Precio_Unitario]]*(1-VentasRawTable3[[#This Row],[Descuento]])</f>
        <v>137.75</v>
      </c>
    </row>
    <row r="8" spans="1:12">
      <c r="A8" t="s">
        <v>61</v>
      </c>
      <c r="B8" s="1">
        <v>46043</v>
      </c>
      <c r="C8" t="s">
        <v>29</v>
      </c>
      <c r="D8" t="s">
        <v>36</v>
      </c>
      <c r="E8" t="s">
        <v>37</v>
      </c>
      <c r="F8" t="s">
        <v>62</v>
      </c>
      <c r="G8" t="s">
        <v>63</v>
      </c>
      <c r="H8" t="s">
        <v>46</v>
      </c>
      <c r="I8">
        <v>2</v>
      </c>
      <c r="J8" s="2">
        <v>185</v>
      </c>
      <c r="K8" s="3">
        <v>0</v>
      </c>
      <c r="L8" s="12">
        <f>VentasRawTable3[[#This Row],[Cantidad]]*VentasRawTable3[[#This Row],[Precio_Unitario]]*(1-VentasRawTable3[[#This Row],[Descuento]])</f>
        <v>370</v>
      </c>
    </row>
    <row r="9" spans="1:12">
      <c r="A9" t="s">
        <v>64</v>
      </c>
      <c r="B9" s="1">
        <v>46046</v>
      </c>
      <c r="C9" t="s">
        <v>42</v>
      </c>
      <c r="D9" t="s">
        <v>43</v>
      </c>
      <c r="E9" t="s">
        <v>37</v>
      </c>
      <c r="F9" t="s">
        <v>65</v>
      </c>
      <c r="G9" t="s">
        <v>66</v>
      </c>
      <c r="H9" t="s">
        <v>53</v>
      </c>
      <c r="I9">
        <v>3</v>
      </c>
      <c r="J9" s="2">
        <v>70</v>
      </c>
      <c r="K9" s="3">
        <v>0.1</v>
      </c>
      <c r="L9" s="12">
        <f>VentasRawTable3[[#This Row],[Cantidad]]*VentasRawTable3[[#This Row],[Precio_Unitario]]*(1-VentasRawTable3[[#This Row],[Descuento]])</f>
        <v>189</v>
      </c>
    </row>
    <row r="10" spans="1:12">
      <c r="A10" t="s">
        <v>67</v>
      </c>
      <c r="B10" s="1">
        <v>46025</v>
      </c>
      <c r="C10" t="s">
        <v>48</v>
      </c>
      <c r="D10" t="s">
        <v>49</v>
      </c>
      <c r="E10" t="s">
        <v>50</v>
      </c>
      <c r="F10" t="s">
        <v>68</v>
      </c>
      <c r="G10" t="s">
        <v>69</v>
      </c>
      <c r="H10" t="s">
        <v>34</v>
      </c>
      <c r="I10">
        <v>4</v>
      </c>
      <c r="J10" s="2">
        <v>175</v>
      </c>
      <c r="K10" s="3">
        <v>0</v>
      </c>
      <c r="L10" s="12">
        <f>VentasRawTable3[[#This Row],[Cantidad]]*VentasRawTable3[[#This Row],[Precio_Unitario]]*(1-VentasRawTable3[[#This Row],[Descuento]])</f>
        <v>700</v>
      </c>
    </row>
    <row r="11" spans="1:12">
      <c r="A11" t="s">
        <v>70</v>
      </c>
      <c r="B11" s="1">
        <v>46028</v>
      </c>
      <c r="C11" t="s">
        <v>48</v>
      </c>
      <c r="D11" t="s">
        <v>55</v>
      </c>
      <c r="E11" t="s">
        <v>31</v>
      </c>
      <c r="F11" t="s">
        <v>32</v>
      </c>
      <c r="G11" t="s">
        <v>71</v>
      </c>
      <c r="H11" t="s">
        <v>40</v>
      </c>
      <c r="I11">
        <v>5</v>
      </c>
      <c r="J11" s="2">
        <v>310</v>
      </c>
      <c r="K11" s="3">
        <v>0</v>
      </c>
      <c r="L11" s="12">
        <f>VentasRawTable3[[#This Row],[Cantidad]]*VentasRawTable3[[#This Row],[Precio_Unitario]]*(1-VentasRawTable3[[#This Row],[Descuento]])</f>
        <v>1550</v>
      </c>
    </row>
    <row r="12" spans="1:12">
      <c r="A12" t="s">
        <v>72</v>
      </c>
      <c r="B12" s="1">
        <v>46062</v>
      </c>
      <c r="C12" t="s">
        <v>29</v>
      </c>
      <c r="D12" t="s">
        <v>30</v>
      </c>
      <c r="E12" t="s">
        <v>37</v>
      </c>
      <c r="F12" t="s">
        <v>38</v>
      </c>
      <c r="G12" t="s">
        <v>33</v>
      </c>
      <c r="H12" t="s">
        <v>46</v>
      </c>
      <c r="I12">
        <v>1</v>
      </c>
      <c r="J12" s="2">
        <v>120</v>
      </c>
      <c r="K12" s="3">
        <v>0.05</v>
      </c>
      <c r="L12" s="12">
        <f>VentasRawTable3[[#This Row],[Cantidad]]*VentasRawTable3[[#This Row],[Precio_Unitario]]*(1-VentasRawTable3[[#This Row],[Descuento]])</f>
        <v>114</v>
      </c>
    </row>
    <row r="13" spans="1:12">
      <c r="A13" t="s">
        <v>73</v>
      </c>
      <c r="B13" s="1">
        <v>46065</v>
      </c>
      <c r="C13" t="s">
        <v>29</v>
      </c>
      <c r="D13" t="s">
        <v>36</v>
      </c>
      <c r="E13" t="s">
        <v>37</v>
      </c>
      <c r="F13" t="s">
        <v>44</v>
      </c>
      <c r="G13" t="s">
        <v>39</v>
      </c>
      <c r="H13" t="s">
        <v>53</v>
      </c>
      <c r="I13">
        <v>2</v>
      </c>
      <c r="J13" s="2">
        <v>95</v>
      </c>
      <c r="K13" s="3">
        <v>0</v>
      </c>
      <c r="L13" s="12">
        <f>VentasRawTable3[[#This Row],[Cantidad]]*VentasRawTable3[[#This Row],[Precio_Unitario]]*(1-VentasRawTable3[[#This Row],[Descuento]])</f>
        <v>190</v>
      </c>
    </row>
    <row r="14" spans="1:12">
      <c r="A14" t="s">
        <v>74</v>
      </c>
      <c r="B14" s="1">
        <v>46068</v>
      </c>
      <c r="C14" t="s">
        <v>42</v>
      </c>
      <c r="D14" t="s">
        <v>43</v>
      </c>
      <c r="E14" t="s">
        <v>50</v>
      </c>
      <c r="F14" t="s">
        <v>51</v>
      </c>
      <c r="G14" t="s">
        <v>45</v>
      </c>
      <c r="H14" t="s">
        <v>34</v>
      </c>
      <c r="I14">
        <v>3</v>
      </c>
      <c r="J14" s="2">
        <v>260</v>
      </c>
      <c r="K14" s="3">
        <v>0</v>
      </c>
      <c r="L14" s="12">
        <f>VentasRawTable3[[#This Row],[Cantidad]]*VentasRawTable3[[#This Row],[Precio_Unitario]]*(1-VentasRawTable3[[#This Row],[Descuento]])</f>
        <v>780</v>
      </c>
    </row>
    <row r="15" spans="1:12">
      <c r="A15" t="s">
        <v>75</v>
      </c>
      <c r="B15" s="1">
        <v>46071</v>
      </c>
      <c r="C15" t="s">
        <v>48</v>
      </c>
      <c r="D15" t="s">
        <v>49</v>
      </c>
      <c r="E15" t="s">
        <v>31</v>
      </c>
      <c r="F15" t="s">
        <v>56</v>
      </c>
      <c r="G15" t="s">
        <v>52</v>
      </c>
      <c r="H15" t="s">
        <v>40</v>
      </c>
      <c r="I15">
        <v>4</v>
      </c>
      <c r="J15" s="2">
        <v>230</v>
      </c>
      <c r="K15" s="3">
        <v>0</v>
      </c>
      <c r="L15" s="12">
        <f>VentasRawTable3[[#This Row],[Cantidad]]*VentasRawTable3[[#This Row],[Precio_Unitario]]*(1-VentasRawTable3[[#This Row],[Descuento]])</f>
        <v>920</v>
      </c>
    </row>
    <row r="16" spans="1:12">
      <c r="A16" t="s">
        <v>76</v>
      </c>
      <c r="B16" s="1">
        <v>46074</v>
      </c>
      <c r="C16" t="s">
        <v>48</v>
      </c>
      <c r="D16" t="s">
        <v>55</v>
      </c>
      <c r="E16" t="s">
        <v>31</v>
      </c>
      <c r="F16" t="s">
        <v>59</v>
      </c>
      <c r="G16" t="s">
        <v>57</v>
      </c>
      <c r="H16" t="s">
        <v>46</v>
      </c>
      <c r="I16">
        <v>5</v>
      </c>
      <c r="J16" s="2">
        <v>145</v>
      </c>
      <c r="K16" s="3">
        <v>0.1</v>
      </c>
      <c r="L16" s="12">
        <f>VentasRawTable3[[#This Row],[Cantidad]]*VentasRawTable3[[#This Row],[Precio_Unitario]]*(1-VentasRawTable3[[#This Row],[Descuento]])</f>
        <v>652.5</v>
      </c>
    </row>
    <row r="17" spans="1:12">
      <c r="A17" t="s">
        <v>77</v>
      </c>
      <c r="B17" s="1">
        <v>46077</v>
      </c>
      <c r="C17" t="s">
        <v>29</v>
      </c>
      <c r="D17" t="s">
        <v>30</v>
      </c>
      <c r="E17" t="s">
        <v>37</v>
      </c>
      <c r="F17" t="s">
        <v>62</v>
      </c>
      <c r="G17" t="s">
        <v>60</v>
      </c>
      <c r="H17" t="s">
        <v>53</v>
      </c>
      <c r="I17">
        <v>1</v>
      </c>
      <c r="J17" s="2">
        <v>185</v>
      </c>
      <c r="K17" s="3">
        <v>0.05</v>
      </c>
      <c r="L17" s="12">
        <f>VentasRawTable3[[#This Row],[Cantidad]]*VentasRawTable3[[#This Row],[Precio_Unitario]]*(1-VentasRawTable3[[#This Row],[Descuento]])</f>
        <v>175.75</v>
      </c>
    </row>
    <row r="18" spans="1:12">
      <c r="A18" t="s">
        <v>78</v>
      </c>
      <c r="B18" s="1">
        <v>46056</v>
      </c>
      <c r="C18" t="s">
        <v>29</v>
      </c>
      <c r="D18" t="s">
        <v>36</v>
      </c>
      <c r="E18" t="s">
        <v>50</v>
      </c>
      <c r="F18" t="s">
        <v>65</v>
      </c>
      <c r="G18" t="s">
        <v>63</v>
      </c>
      <c r="H18" t="s">
        <v>34</v>
      </c>
      <c r="I18">
        <v>2</v>
      </c>
      <c r="J18" s="2">
        <v>70</v>
      </c>
      <c r="K18" s="3">
        <v>0</v>
      </c>
      <c r="L18" s="12">
        <f>VentasRawTable3[[#This Row],[Cantidad]]*VentasRawTable3[[#This Row],[Precio_Unitario]]*(1-VentasRawTable3[[#This Row],[Descuento]])</f>
        <v>140</v>
      </c>
    </row>
    <row r="19" spans="1:12">
      <c r="A19" t="s">
        <v>79</v>
      </c>
      <c r="B19" s="1">
        <v>46059</v>
      </c>
      <c r="C19" t="s">
        <v>42</v>
      </c>
      <c r="D19" t="s">
        <v>43</v>
      </c>
      <c r="E19" t="s">
        <v>50</v>
      </c>
      <c r="F19" t="s">
        <v>68</v>
      </c>
      <c r="G19" t="s">
        <v>66</v>
      </c>
      <c r="H19" t="s">
        <v>40</v>
      </c>
      <c r="I19">
        <v>3</v>
      </c>
      <c r="J19" s="2">
        <v>175</v>
      </c>
      <c r="K19" s="3">
        <v>0</v>
      </c>
      <c r="L19" s="12">
        <f>VentasRawTable3[[#This Row],[Cantidad]]*VentasRawTable3[[#This Row],[Precio_Unitario]]*(1-VentasRawTable3[[#This Row],[Descuento]])</f>
        <v>525</v>
      </c>
    </row>
    <row r="20" spans="1:12">
      <c r="A20" t="s">
        <v>80</v>
      </c>
      <c r="B20" s="1">
        <v>46062</v>
      </c>
      <c r="C20" t="s">
        <v>48</v>
      </c>
      <c r="D20" t="s">
        <v>49</v>
      </c>
      <c r="E20" t="s">
        <v>31</v>
      </c>
      <c r="F20" t="s">
        <v>32</v>
      </c>
      <c r="G20" t="s">
        <v>69</v>
      </c>
      <c r="H20" t="s">
        <v>46</v>
      </c>
      <c r="I20">
        <v>4</v>
      </c>
      <c r="J20" s="2">
        <v>310</v>
      </c>
      <c r="K20" s="3">
        <v>0</v>
      </c>
      <c r="L20" s="12">
        <f>VentasRawTable3[[#This Row],[Cantidad]]*VentasRawTable3[[#This Row],[Precio_Unitario]]*(1-VentasRawTable3[[#This Row],[Descuento]])</f>
        <v>1240</v>
      </c>
    </row>
    <row r="21" spans="1:12">
      <c r="A21" t="s">
        <v>82</v>
      </c>
      <c r="B21" s="1">
        <v>46065</v>
      </c>
      <c r="C21" t="s">
        <v>48</v>
      </c>
      <c r="D21" t="s">
        <v>55</v>
      </c>
      <c r="E21" t="s">
        <v>37</v>
      </c>
      <c r="F21" t="s">
        <v>38</v>
      </c>
      <c r="G21" t="s">
        <v>71</v>
      </c>
      <c r="H21" t="s">
        <v>53</v>
      </c>
      <c r="I21">
        <v>5</v>
      </c>
      <c r="J21" s="2">
        <v>120</v>
      </c>
      <c r="K21" s="3">
        <v>0</v>
      </c>
      <c r="L21" s="12">
        <f>VentasRawTable3[[#This Row],[Cantidad]]*VentasRawTable3[[#This Row],[Precio_Unitario]]*(1-VentasRawTable3[[#This Row],[Descuento]])</f>
        <v>600</v>
      </c>
    </row>
    <row r="22" spans="1:12">
      <c r="A22" t="s">
        <v>83</v>
      </c>
      <c r="B22" s="1">
        <v>46096</v>
      </c>
      <c r="C22" t="s">
        <v>29</v>
      </c>
      <c r="D22" t="s">
        <v>30</v>
      </c>
      <c r="E22" t="s">
        <v>37</v>
      </c>
      <c r="F22" t="s">
        <v>44</v>
      </c>
      <c r="G22" t="s">
        <v>33</v>
      </c>
      <c r="H22" t="s">
        <v>34</v>
      </c>
      <c r="I22">
        <v>1</v>
      </c>
      <c r="J22" s="2">
        <v>95</v>
      </c>
      <c r="K22" s="3">
        <v>0.05</v>
      </c>
      <c r="L22" s="12">
        <f>VentasRawTable3[[#This Row],[Cantidad]]*VentasRawTable3[[#This Row],[Precio_Unitario]]*(1-VentasRawTable3[[#This Row],[Descuento]])</f>
        <v>90.25</v>
      </c>
    </row>
    <row r="23" spans="1:12">
      <c r="A23" t="s">
        <v>84</v>
      </c>
      <c r="B23" s="1">
        <v>46099</v>
      </c>
      <c r="C23" t="s">
        <v>29</v>
      </c>
      <c r="D23" t="s">
        <v>36</v>
      </c>
      <c r="E23" t="s">
        <v>50</v>
      </c>
      <c r="F23" t="s">
        <v>51</v>
      </c>
      <c r="G23" t="s">
        <v>39</v>
      </c>
      <c r="H23" t="s">
        <v>40</v>
      </c>
      <c r="I23">
        <v>2</v>
      </c>
      <c r="J23" s="2">
        <v>260</v>
      </c>
      <c r="K23" s="3">
        <v>0.1</v>
      </c>
      <c r="L23" s="12">
        <f>VentasRawTable3[[#This Row],[Cantidad]]*VentasRawTable3[[#This Row],[Precio_Unitario]]*(1-VentasRawTable3[[#This Row],[Descuento]])</f>
        <v>468</v>
      </c>
    </row>
    <row r="24" spans="1:12">
      <c r="A24" t="s">
        <v>85</v>
      </c>
      <c r="B24" s="1">
        <v>46102</v>
      </c>
      <c r="C24" t="s">
        <v>42</v>
      </c>
      <c r="D24" t="s">
        <v>43</v>
      </c>
      <c r="E24" t="s">
        <v>31</v>
      </c>
      <c r="F24" t="s">
        <v>56</v>
      </c>
      <c r="G24" t="s">
        <v>45</v>
      </c>
      <c r="H24" t="s">
        <v>46</v>
      </c>
      <c r="I24">
        <v>3</v>
      </c>
      <c r="J24" s="2">
        <v>230</v>
      </c>
      <c r="K24" s="3">
        <v>0</v>
      </c>
      <c r="L24" s="12">
        <f>VentasRawTable3[[#This Row],[Cantidad]]*VentasRawTable3[[#This Row],[Precio_Unitario]]*(1-VentasRawTable3[[#This Row],[Descuento]])</f>
        <v>690</v>
      </c>
    </row>
    <row r="25" spans="1:12">
      <c r="A25" t="s">
        <v>86</v>
      </c>
      <c r="B25" s="1">
        <v>46105</v>
      </c>
      <c r="C25" t="s">
        <v>48</v>
      </c>
      <c r="D25" t="s">
        <v>49</v>
      </c>
      <c r="E25" t="s">
        <v>31</v>
      </c>
      <c r="F25" t="s">
        <v>59</v>
      </c>
      <c r="G25" t="s">
        <v>52</v>
      </c>
      <c r="H25" t="s">
        <v>53</v>
      </c>
      <c r="I25">
        <v>4</v>
      </c>
      <c r="J25" s="2">
        <v>145</v>
      </c>
      <c r="K25" s="3">
        <v>0</v>
      </c>
      <c r="L25" s="12">
        <f>VentasRawTable3[[#This Row],[Cantidad]]*VentasRawTable3[[#This Row],[Precio_Unitario]]*(1-VentasRawTable3[[#This Row],[Descuento]])</f>
        <v>580</v>
      </c>
    </row>
    <row r="26" spans="1:12">
      <c r="A26" t="s">
        <v>87</v>
      </c>
      <c r="B26" s="1">
        <v>46084</v>
      </c>
      <c r="C26" t="s">
        <v>48</v>
      </c>
      <c r="D26" t="s">
        <v>55</v>
      </c>
      <c r="E26" t="s">
        <v>37</v>
      </c>
      <c r="F26" t="s">
        <v>62</v>
      </c>
      <c r="G26" t="s">
        <v>57</v>
      </c>
      <c r="H26" t="s">
        <v>34</v>
      </c>
      <c r="I26">
        <v>5</v>
      </c>
      <c r="J26" s="2">
        <v>185</v>
      </c>
      <c r="K26" s="3">
        <v>0</v>
      </c>
      <c r="L26" s="12">
        <f>VentasRawTable3[[#This Row],[Cantidad]]*VentasRawTable3[[#This Row],[Precio_Unitario]]*(1-VentasRawTable3[[#This Row],[Descuento]])</f>
        <v>925</v>
      </c>
    </row>
    <row r="27" spans="1:12">
      <c r="A27" t="s">
        <v>88</v>
      </c>
      <c r="B27" s="1">
        <v>46087</v>
      </c>
      <c r="C27" t="s">
        <v>29</v>
      </c>
      <c r="D27" t="s">
        <v>30</v>
      </c>
      <c r="E27" t="s">
        <v>50</v>
      </c>
      <c r="F27" t="s">
        <v>65</v>
      </c>
      <c r="G27" t="s">
        <v>60</v>
      </c>
      <c r="H27" t="s">
        <v>40</v>
      </c>
      <c r="I27">
        <v>1</v>
      </c>
      <c r="J27" s="2">
        <v>70</v>
      </c>
      <c r="K27" s="3">
        <v>0.05</v>
      </c>
      <c r="L27" s="12">
        <f>VentasRawTable3[[#This Row],[Cantidad]]*VentasRawTable3[[#This Row],[Precio_Unitario]]*(1-VentasRawTable3[[#This Row],[Descuento]])</f>
        <v>66.5</v>
      </c>
    </row>
    <row r="28" spans="1:12">
      <c r="A28" t="s">
        <v>89</v>
      </c>
      <c r="B28" s="1">
        <v>46090</v>
      </c>
      <c r="C28" t="s">
        <v>29</v>
      </c>
      <c r="D28" t="s">
        <v>36</v>
      </c>
      <c r="E28" t="s">
        <v>50</v>
      </c>
      <c r="F28" t="s">
        <v>68</v>
      </c>
      <c r="G28" t="s">
        <v>63</v>
      </c>
      <c r="H28" t="s">
        <v>46</v>
      </c>
      <c r="I28">
        <v>2</v>
      </c>
      <c r="J28" s="2">
        <v>175</v>
      </c>
      <c r="K28" s="3">
        <v>0</v>
      </c>
      <c r="L28" s="12">
        <f>VentasRawTable3[[#This Row],[Cantidad]]*VentasRawTable3[[#This Row],[Precio_Unitario]]*(1-VentasRawTable3[[#This Row],[Descuento]])</f>
        <v>350</v>
      </c>
    </row>
    <row r="29" spans="1:12">
      <c r="A29" t="s">
        <v>90</v>
      </c>
      <c r="B29" s="1">
        <v>46093</v>
      </c>
      <c r="C29" t="s">
        <v>42</v>
      </c>
      <c r="D29" t="s">
        <v>43</v>
      </c>
      <c r="E29" t="s">
        <v>31</v>
      </c>
      <c r="F29" t="s">
        <v>32</v>
      </c>
      <c r="G29" t="s">
        <v>66</v>
      </c>
      <c r="H29" t="s">
        <v>53</v>
      </c>
      <c r="I29">
        <v>3</v>
      </c>
      <c r="J29" s="2">
        <v>310</v>
      </c>
      <c r="K29" s="3">
        <v>0</v>
      </c>
      <c r="L29" s="12">
        <f>VentasRawTable3[[#This Row],[Cantidad]]*VentasRawTable3[[#This Row],[Precio_Unitario]]*(1-VentasRawTable3[[#This Row],[Descuento]])</f>
        <v>930</v>
      </c>
    </row>
    <row r="30" spans="1:12">
      <c r="A30" t="s">
        <v>91</v>
      </c>
      <c r="B30" s="1">
        <v>46096</v>
      </c>
      <c r="C30" t="s">
        <v>48</v>
      </c>
      <c r="D30" t="s">
        <v>49</v>
      </c>
      <c r="E30" t="s">
        <v>37</v>
      </c>
      <c r="F30" t="s">
        <v>38</v>
      </c>
      <c r="G30" t="s">
        <v>69</v>
      </c>
      <c r="H30" t="s">
        <v>34</v>
      </c>
      <c r="I30">
        <v>4</v>
      </c>
      <c r="J30" s="2">
        <v>120</v>
      </c>
      <c r="K30" s="3">
        <v>0.1</v>
      </c>
      <c r="L30" s="12">
        <f>VentasRawTable3[[#This Row],[Cantidad]]*VentasRawTable3[[#This Row],[Precio_Unitario]]*(1-VentasRawTable3[[#This Row],[Descuento]])</f>
        <v>432</v>
      </c>
    </row>
    <row r="31" spans="1:12">
      <c r="A31" t="s">
        <v>92</v>
      </c>
      <c r="B31" s="1">
        <v>46099</v>
      </c>
      <c r="C31" t="s">
        <v>48</v>
      </c>
      <c r="D31" t="s">
        <v>55</v>
      </c>
      <c r="E31" t="s">
        <v>37</v>
      </c>
      <c r="F31" t="s">
        <v>44</v>
      </c>
      <c r="G31" t="s">
        <v>71</v>
      </c>
      <c r="H31" t="s">
        <v>40</v>
      </c>
      <c r="I31">
        <v>5</v>
      </c>
      <c r="J31" s="2">
        <v>95</v>
      </c>
      <c r="K31" s="3">
        <v>0</v>
      </c>
      <c r="L31" s="12">
        <f>VentasRawTable3[[#This Row],[Cantidad]]*VentasRawTable3[[#This Row],[Precio_Unitario]]*(1-VentasRawTable3[[#This Row],[Descuento]])</f>
        <v>475</v>
      </c>
    </row>
    <row r="32" spans="1:12">
      <c r="A32" t="s">
        <v>93</v>
      </c>
      <c r="B32" s="1">
        <v>46133</v>
      </c>
      <c r="C32" t="s">
        <v>29</v>
      </c>
      <c r="D32" t="s">
        <v>30</v>
      </c>
      <c r="E32" t="s">
        <v>50</v>
      </c>
      <c r="F32" t="s">
        <v>51</v>
      </c>
      <c r="G32" t="s">
        <v>33</v>
      </c>
      <c r="H32" t="s">
        <v>46</v>
      </c>
      <c r="I32">
        <v>1</v>
      </c>
      <c r="J32" s="2">
        <v>260</v>
      </c>
      <c r="K32" s="3">
        <v>0.05</v>
      </c>
      <c r="L32" s="12">
        <f>VentasRawTable3[[#This Row],[Cantidad]]*VentasRawTable3[[#This Row],[Precio_Unitario]]*(1-VentasRawTable3[[#This Row],[Descuento]])</f>
        <v>247</v>
      </c>
    </row>
    <row r="33" spans="1:12">
      <c r="A33" t="s">
        <v>94</v>
      </c>
      <c r="B33" s="1">
        <v>46136</v>
      </c>
      <c r="C33" t="s">
        <v>29</v>
      </c>
      <c r="D33" t="s">
        <v>36</v>
      </c>
      <c r="E33" t="s">
        <v>31</v>
      </c>
      <c r="F33" t="s">
        <v>56</v>
      </c>
      <c r="G33" t="s">
        <v>39</v>
      </c>
      <c r="H33" t="s">
        <v>53</v>
      </c>
      <c r="I33">
        <v>2</v>
      </c>
      <c r="J33" s="2">
        <v>230</v>
      </c>
      <c r="K33" s="3">
        <v>0</v>
      </c>
      <c r="L33" s="12">
        <f>VentasRawTable3[[#This Row],[Cantidad]]*VentasRawTable3[[#This Row],[Precio_Unitario]]*(1-VentasRawTable3[[#This Row],[Descuento]])</f>
        <v>460</v>
      </c>
    </row>
    <row r="34" spans="1:12">
      <c r="A34" t="s">
        <v>95</v>
      </c>
      <c r="B34" s="1">
        <v>46115</v>
      </c>
      <c r="C34" t="s">
        <v>42</v>
      </c>
      <c r="D34" t="s">
        <v>43</v>
      </c>
      <c r="E34" t="s">
        <v>31</v>
      </c>
      <c r="F34" t="s">
        <v>59</v>
      </c>
      <c r="G34" t="s">
        <v>45</v>
      </c>
      <c r="H34" t="s">
        <v>34</v>
      </c>
      <c r="I34">
        <v>3</v>
      </c>
      <c r="J34" s="2">
        <v>145</v>
      </c>
      <c r="K34" s="3">
        <v>0</v>
      </c>
      <c r="L34" s="12">
        <f>VentasRawTable3[[#This Row],[Cantidad]]*VentasRawTable3[[#This Row],[Precio_Unitario]]*(1-VentasRawTable3[[#This Row],[Descuento]])</f>
        <v>435</v>
      </c>
    </row>
    <row r="35" spans="1:12">
      <c r="A35" t="s">
        <v>96</v>
      </c>
      <c r="B35" s="1">
        <v>46118</v>
      </c>
      <c r="C35" t="s">
        <v>48</v>
      </c>
      <c r="D35" t="s">
        <v>49</v>
      </c>
      <c r="E35" t="s">
        <v>37</v>
      </c>
      <c r="F35" t="s">
        <v>62</v>
      </c>
      <c r="G35" t="s">
        <v>52</v>
      </c>
      <c r="H35" t="s">
        <v>40</v>
      </c>
      <c r="I35">
        <v>4</v>
      </c>
      <c r="J35" s="2">
        <v>185</v>
      </c>
      <c r="K35" s="3">
        <v>0</v>
      </c>
      <c r="L35" s="12">
        <f>VentasRawTable3[[#This Row],[Cantidad]]*VentasRawTable3[[#This Row],[Precio_Unitario]]*(1-VentasRawTable3[[#This Row],[Descuento]])</f>
        <v>740</v>
      </c>
    </row>
    <row r="36" spans="1:12">
      <c r="A36" t="s">
        <v>97</v>
      </c>
      <c r="B36" s="1">
        <v>46121</v>
      </c>
      <c r="C36" t="s">
        <v>48</v>
      </c>
      <c r="D36" t="s">
        <v>55</v>
      </c>
      <c r="E36" t="s">
        <v>50</v>
      </c>
      <c r="F36" t="s">
        <v>65</v>
      </c>
      <c r="G36" t="s">
        <v>57</v>
      </c>
      <c r="H36" t="s">
        <v>46</v>
      </c>
      <c r="I36">
        <v>5</v>
      </c>
      <c r="J36" s="2">
        <v>70</v>
      </c>
      <c r="K36" s="3">
        <v>0</v>
      </c>
      <c r="L36" s="12">
        <f>VentasRawTable3[[#This Row],[Cantidad]]*VentasRawTable3[[#This Row],[Precio_Unitario]]*(1-VentasRawTable3[[#This Row],[Descuento]])</f>
        <v>350</v>
      </c>
    </row>
    <row r="37" spans="1:12">
      <c r="A37" t="s">
        <v>98</v>
      </c>
      <c r="B37" s="1">
        <v>46124</v>
      </c>
      <c r="C37" t="s">
        <v>29</v>
      </c>
      <c r="D37" t="s">
        <v>30</v>
      </c>
      <c r="E37" t="s">
        <v>50</v>
      </c>
      <c r="F37" t="s">
        <v>68</v>
      </c>
      <c r="G37" t="s">
        <v>60</v>
      </c>
      <c r="H37" t="s">
        <v>53</v>
      </c>
      <c r="I37">
        <v>1</v>
      </c>
      <c r="J37" s="2">
        <v>175</v>
      </c>
      <c r="K37" s="3">
        <v>0.1</v>
      </c>
      <c r="L37" s="12">
        <f>VentasRawTable3[[#This Row],[Cantidad]]*VentasRawTable3[[#This Row],[Precio_Unitario]]*(1-VentasRawTable3[[#This Row],[Descuento]])</f>
        <v>157.5</v>
      </c>
    </row>
    <row r="38" spans="1:12">
      <c r="A38" t="s">
        <v>99</v>
      </c>
      <c r="B38" s="1">
        <v>46127</v>
      </c>
      <c r="C38" t="s">
        <v>29</v>
      </c>
      <c r="D38" t="s">
        <v>36</v>
      </c>
      <c r="E38" t="s">
        <v>31</v>
      </c>
      <c r="F38" t="s">
        <v>32</v>
      </c>
      <c r="G38" t="s">
        <v>63</v>
      </c>
      <c r="H38" t="s">
        <v>34</v>
      </c>
      <c r="I38">
        <v>2</v>
      </c>
      <c r="J38" s="2">
        <v>310</v>
      </c>
      <c r="K38" s="3">
        <v>0</v>
      </c>
      <c r="L38" s="12">
        <f>VentasRawTable3[[#This Row],[Cantidad]]*VentasRawTable3[[#This Row],[Precio_Unitario]]*(1-VentasRawTable3[[#This Row],[Descuento]])</f>
        <v>620</v>
      </c>
    </row>
    <row r="39" spans="1:12">
      <c r="A39" t="s">
        <v>100</v>
      </c>
      <c r="B39" s="1">
        <v>46130</v>
      </c>
      <c r="C39" t="s">
        <v>42</v>
      </c>
      <c r="D39" t="s">
        <v>43</v>
      </c>
      <c r="E39" t="s">
        <v>37</v>
      </c>
      <c r="F39" t="s">
        <v>38</v>
      </c>
      <c r="G39" t="s">
        <v>66</v>
      </c>
      <c r="H39" t="s">
        <v>40</v>
      </c>
      <c r="I39">
        <v>3</v>
      </c>
      <c r="J39" s="2">
        <v>120</v>
      </c>
      <c r="K39" s="3">
        <v>0</v>
      </c>
      <c r="L39" s="12">
        <f>VentasRawTable3[[#This Row],[Cantidad]]*VentasRawTable3[[#This Row],[Precio_Unitario]]*(1-VentasRawTable3[[#This Row],[Descuento]])</f>
        <v>360</v>
      </c>
    </row>
    <row r="40" spans="1:12">
      <c r="A40" t="s">
        <v>101</v>
      </c>
      <c r="B40" s="1">
        <v>46133</v>
      </c>
      <c r="C40" t="s">
        <v>48</v>
      </c>
      <c r="D40" t="s">
        <v>49</v>
      </c>
      <c r="E40" t="s">
        <v>37</v>
      </c>
      <c r="F40" t="s">
        <v>44</v>
      </c>
      <c r="G40" t="s">
        <v>69</v>
      </c>
      <c r="H40" t="s">
        <v>46</v>
      </c>
      <c r="I40">
        <v>4</v>
      </c>
      <c r="J40" s="2">
        <v>95</v>
      </c>
      <c r="K40" s="3">
        <v>0</v>
      </c>
      <c r="L40" s="12">
        <f>VentasRawTable3[[#This Row],[Cantidad]]*VentasRawTable3[[#This Row],[Precio_Unitario]]*(1-VentasRawTable3[[#This Row],[Descuento]])</f>
        <v>380</v>
      </c>
    </row>
    <row r="41" spans="1:12">
      <c r="A41" t="s">
        <v>102</v>
      </c>
      <c r="B41" s="1">
        <v>46136</v>
      </c>
      <c r="C41" t="s">
        <v>48</v>
      </c>
      <c r="D41" t="s">
        <v>55</v>
      </c>
      <c r="E41" t="s">
        <v>50</v>
      </c>
      <c r="F41" t="s">
        <v>51</v>
      </c>
      <c r="G41" t="s">
        <v>71</v>
      </c>
      <c r="H41" t="s">
        <v>53</v>
      </c>
      <c r="I41">
        <v>5</v>
      </c>
      <c r="J41" s="2">
        <v>260</v>
      </c>
      <c r="K41" s="3">
        <v>0</v>
      </c>
      <c r="L41" s="12">
        <f>VentasRawTable3[[#This Row],[Cantidad]]*VentasRawTable3[[#This Row],[Precio_Unitario]]*(1-VentasRawTable3[[#This Row],[Descuento]])</f>
        <v>1300</v>
      </c>
    </row>
    <row r="42" spans="1:12">
      <c r="A42" t="s">
        <v>103</v>
      </c>
      <c r="B42" s="1">
        <v>46145</v>
      </c>
      <c r="C42" t="s">
        <v>29</v>
      </c>
      <c r="D42" t="s">
        <v>30</v>
      </c>
      <c r="E42" t="s">
        <v>31</v>
      </c>
      <c r="F42" t="s">
        <v>56</v>
      </c>
      <c r="G42" t="s">
        <v>33</v>
      </c>
      <c r="H42" t="s">
        <v>34</v>
      </c>
      <c r="I42">
        <v>1</v>
      </c>
      <c r="J42" s="2">
        <v>230</v>
      </c>
      <c r="K42" s="3">
        <v>0.05</v>
      </c>
      <c r="L42" s="12">
        <f>VentasRawTable3[[#This Row],[Cantidad]]*VentasRawTable3[[#This Row],[Precio_Unitario]]*(1-VentasRawTable3[[#This Row],[Descuento]])</f>
        <v>218.5</v>
      </c>
    </row>
    <row r="43" spans="1:12">
      <c r="A43" t="s">
        <v>104</v>
      </c>
      <c r="B43" s="1">
        <v>46148</v>
      </c>
      <c r="C43" t="s">
        <v>29</v>
      </c>
      <c r="D43" t="s">
        <v>36</v>
      </c>
      <c r="E43" t="s">
        <v>31</v>
      </c>
      <c r="F43" t="s">
        <v>59</v>
      </c>
      <c r="G43" t="s">
        <v>39</v>
      </c>
      <c r="H43" t="s">
        <v>40</v>
      </c>
      <c r="I43">
        <v>2</v>
      </c>
      <c r="J43" s="2">
        <v>145</v>
      </c>
      <c r="K43" s="3">
        <v>0</v>
      </c>
      <c r="L43" s="12">
        <f>VentasRawTable3[[#This Row],[Cantidad]]*VentasRawTable3[[#This Row],[Precio_Unitario]]*(1-VentasRawTable3[[#This Row],[Descuento]])</f>
        <v>290</v>
      </c>
    </row>
    <row r="44" spans="1:12">
      <c r="A44" t="s">
        <v>105</v>
      </c>
      <c r="B44" s="1">
        <v>46151</v>
      </c>
      <c r="C44" t="s">
        <v>42</v>
      </c>
      <c r="D44" t="s">
        <v>43</v>
      </c>
      <c r="E44" t="s">
        <v>37</v>
      </c>
      <c r="F44" t="s">
        <v>62</v>
      </c>
      <c r="G44" t="s">
        <v>45</v>
      </c>
      <c r="H44" t="s">
        <v>46</v>
      </c>
      <c r="I44">
        <v>3</v>
      </c>
      <c r="J44" s="2">
        <v>185</v>
      </c>
      <c r="K44" s="3">
        <v>0.1</v>
      </c>
      <c r="L44" s="12">
        <f>VentasRawTable3[[#This Row],[Cantidad]]*VentasRawTable3[[#This Row],[Precio_Unitario]]*(1-VentasRawTable3[[#This Row],[Descuento]])</f>
        <v>499.5</v>
      </c>
    </row>
    <row r="45" spans="1:12">
      <c r="A45" t="s">
        <v>106</v>
      </c>
      <c r="B45" s="1">
        <v>46154</v>
      </c>
      <c r="C45" t="s">
        <v>48</v>
      </c>
      <c r="D45" t="s">
        <v>49</v>
      </c>
      <c r="E45" t="s">
        <v>50</v>
      </c>
      <c r="F45" t="s">
        <v>65</v>
      </c>
      <c r="G45" t="s">
        <v>52</v>
      </c>
      <c r="H45" t="s">
        <v>53</v>
      </c>
      <c r="I45">
        <v>4</v>
      </c>
      <c r="J45" s="2">
        <v>70</v>
      </c>
      <c r="K45" s="3">
        <v>0</v>
      </c>
      <c r="L45" s="12">
        <f>VentasRawTable3[[#This Row],[Cantidad]]*VentasRawTable3[[#This Row],[Precio_Unitario]]*(1-VentasRawTable3[[#This Row],[Descuento]])</f>
        <v>280</v>
      </c>
    </row>
    <row r="46" spans="1:12">
      <c r="A46" t="s">
        <v>107</v>
      </c>
      <c r="B46" s="1">
        <v>46157</v>
      </c>
      <c r="C46" t="s">
        <v>48</v>
      </c>
      <c r="D46" t="s">
        <v>55</v>
      </c>
      <c r="E46" t="s">
        <v>50</v>
      </c>
      <c r="F46" t="s">
        <v>68</v>
      </c>
      <c r="G46" t="s">
        <v>57</v>
      </c>
      <c r="H46" t="s">
        <v>34</v>
      </c>
      <c r="I46">
        <v>5</v>
      </c>
      <c r="J46" s="2">
        <v>175</v>
      </c>
      <c r="K46" s="3">
        <v>0</v>
      </c>
      <c r="L46" s="12">
        <f>VentasRawTable3[[#This Row],[Cantidad]]*VentasRawTable3[[#This Row],[Precio_Unitario]]*(1-VentasRawTable3[[#This Row],[Descuento]])</f>
        <v>875</v>
      </c>
    </row>
    <row r="47" spans="1:12">
      <c r="A47" t="s">
        <v>108</v>
      </c>
      <c r="B47" s="1">
        <v>46160</v>
      </c>
      <c r="C47" t="s">
        <v>29</v>
      </c>
      <c r="D47" t="s">
        <v>30</v>
      </c>
      <c r="E47" t="s">
        <v>31</v>
      </c>
      <c r="F47" t="s">
        <v>32</v>
      </c>
      <c r="G47" t="s">
        <v>60</v>
      </c>
      <c r="H47" t="s">
        <v>40</v>
      </c>
      <c r="I47">
        <v>1</v>
      </c>
      <c r="J47" s="2">
        <v>310</v>
      </c>
      <c r="K47" s="3">
        <v>0.05</v>
      </c>
      <c r="L47" s="12">
        <f>VentasRawTable3[[#This Row],[Cantidad]]*VentasRawTable3[[#This Row],[Precio_Unitario]]*(1-VentasRawTable3[[#This Row],[Descuento]])</f>
        <v>294.5</v>
      </c>
    </row>
    <row r="48" spans="1:12">
      <c r="A48" t="s">
        <v>109</v>
      </c>
      <c r="B48" s="1">
        <v>46163</v>
      </c>
      <c r="C48" t="s">
        <v>29</v>
      </c>
      <c r="D48" t="s">
        <v>36</v>
      </c>
      <c r="E48" t="s">
        <v>37</v>
      </c>
      <c r="F48" t="s">
        <v>38</v>
      </c>
      <c r="G48" t="s">
        <v>63</v>
      </c>
      <c r="H48" t="s">
        <v>46</v>
      </c>
      <c r="I48">
        <v>2</v>
      </c>
      <c r="J48" s="2">
        <v>120</v>
      </c>
      <c r="K48" s="3">
        <v>0</v>
      </c>
      <c r="L48" s="12">
        <f>VentasRawTable3[[#This Row],[Cantidad]]*VentasRawTable3[[#This Row],[Precio_Unitario]]*(1-VentasRawTable3[[#This Row],[Descuento]])</f>
        <v>240</v>
      </c>
    </row>
    <row r="49" spans="1:12">
      <c r="A49" t="s">
        <v>110</v>
      </c>
      <c r="B49" s="1">
        <v>46166</v>
      </c>
      <c r="C49" t="s">
        <v>42</v>
      </c>
      <c r="D49" t="s">
        <v>43</v>
      </c>
      <c r="E49" t="s">
        <v>37</v>
      </c>
      <c r="F49" t="s">
        <v>44</v>
      </c>
      <c r="G49" t="s">
        <v>66</v>
      </c>
      <c r="H49" t="s">
        <v>53</v>
      </c>
      <c r="I49">
        <v>3</v>
      </c>
      <c r="J49" s="2">
        <v>95</v>
      </c>
      <c r="K49" s="3">
        <v>0</v>
      </c>
      <c r="L49" s="12">
        <f>VentasRawTable3[[#This Row],[Cantidad]]*VentasRawTable3[[#This Row],[Precio_Unitario]]*(1-VentasRawTable3[[#This Row],[Descuento]])</f>
        <v>285</v>
      </c>
    </row>
    <row r="50" spans="1:12">
      <c r="A50" t="s">
        <v>111</v>
      </c>
      <c r="B50" s="1">
        <v>46145</v>
      </c>
      <c r="C50" t="s">
        <v>48</v>
      </c>
      <c r="D50" t="s">
        <v>49</v>
      </c>
      <c r="E50" t="s">
        <v>50</v>
      </c>
      <c r="F50" t="s">
        <v>51</v>
      </c>
      <c r="G50" t="s">
        <v>69</v>
      </c>
      <c r="H50" t="s">
        <v>34</v>
      </c>
      <c r="I50">
        <v>4</v>
      </c>
      <c r="J50" s="2">
        <v>260</v>
      </c>
      <c r="K50" s="3">
        <v>0</v>
      </c>
      <c r="L50" s="12">
        <f>VentasRawTable3[[#This Row],[Cantidad]]*VentasRawTable3[[#This Row],[Precio_Unitario]]*(1-VentasRawTable3[[#This Row],[Descuento]])</f>
        <v>1040</v>
      </c>
    </row>
    <row r="51" spans="1:12">
      <c r="A51" t="s">
        <v>112</v>
      </c>
      <c r="B51" s="1">
        <v>46148</v>
      </c>
      <c r="C51" t="s">
        <v>48</v>
      </c>
      <c r="D51" t="s">
        <v>55</v>
      </c>
      <c r="E51" t="s">
        <v>31</v>
      </c>
      <c r="F51" t="s">
        <v>56</v>
      </c>
      <c r="G51" t="s">
        <v>71</v>
      </c>
      <c r="H51" t="s">
        <v>40</v>
      </c>
      <c r="I51">
        <v>5</v>
      </c>
      <c r="J51" s="2">
        <v>230</v>
      </c>
      <c r="K51" s="3">
        <v>0.1</v>
      </c>
      <c r="L51" s="12">
        <f>VentasRawTable3[[#This Row],[Cantidad]]*VentasRawTable3[[#This Row],[Precio_Unitario]]*(1-VentasRawTable3[[#This Row],[Descuento]])</f>
        <v>1035</v>
      </c>
    </row>
    <row r="52" spans="1:12">
      <c r="A52" t="s">
        <v>113</v>
      </c>
      <c r="B52" s="1">
        <v>46182</v>
      </c>
      <c r="C52" t="s">
        <v>29</v>
      </c>
      <c r="D52" t="s">
        <v>30</v>
      </c>
      <c r="E52" t="s">
        <v>31</v>
      </c>
      <c r="F52" t="s">
        <v>59</v>
      </c>
      <c r="G52" t="s">
        <v>33</v>
      </c>
      <c r="H52" t="s">
        <v>46</v>
      </c>
      <c r="I52">
        <v>1</v>
      </c>
      <c r="J52" s="2">
        <v>145</v>
      </c>
      <c r="K52" s="3">
        <v>0.05</v>
      </c>
      <c r="L52" s="12">
        <f>VentasRawTable3[[#This Row],[Cantidad]]*VentasRawTable3[[#This Row],[Precio_Unitario]]*(1-VentasRawTable3[[#This Row],[Descuento]])</f>
        <v>137.75</v>
      </c>
    </row>
    <row r="53" spans="1:12">
      <c r="A53" t="s">
        <v>114</v>
      </c>
      <c r="B53" s="1">
        <v>46185</v>
      </c>
      <c r="C53" t="s">
        <v>29</v>
      </c>
      <c r="D53" t="s">
        <v>36</v>
      </c>
      <c r="E53" t="s">
        <v>37</v>
      </c>
      <c r="F53" t="s">
        <v>62</v>
      </c>
      <c r="G53" t="s">
        <v>39</v>
      </c>
      <c r="H53" t="s">
        <v>53</v>
      </c>
      <c r="I53">
        <v>2</v>
      </c>
      <c r="J53" s="2">
        <v>185</v>
      </c>
      <c r="K53" s="3">
        <v>0</v>
      </c>
      <c r="L53" s="12">
        <f>VentasRawTable3[[#This Row],[Cantidad]]*VentasRawTable3[[#This Row],[Precio_Unitario]]*(1-VentasRawTable3[[#This Row],[Descuento]])</f>
        <v>370</v>
      </c>
    </row>
    <row r="54" spans="1:12">
      <c r="A54" t="s">
        <v>115</v>
      </c>
      <c r="B54" s="1">
        <v>46188</v>
      </c>
      <c r="C54" t="s">
        <v>42</v>
      </c>
      <c r="D54" t="s">
        <v>43</v>
      </c>
      <c r="E54" t="s">
        <v>50</v>
      </c>
      <c r="F54" t="s">
        <v>65</v>
      </c>
      <c r="G54" t="s">
        <v>45</v>
      </c>
      <c r="H54" t="s">
        <v>34</v>
      </c>
      <c r="I54">
        <v>3</v>
      </c>
      <c r="J54" s="2">
        <v>70</v>
      </c>
      <c r="K54" s="3">
        <v>0</v>
      </c>
      <c r="L54" s="12">
        <f>VentasRawTable3[[#This Row],[Cantidad]]*VentasRawTable3[[#This Row],[Precio_Unitario]]*(1-VentasRawTable3[[#This Row],[Descuento]])</f>
        <v>210</v>
      </c>
    </row>
    <row r="55" spans="1:12">
      <c r="A55" t="s">
        <v>116</v>
      </c>
      <c r="B55" s="1">
        <v>46191</v>
      </c>
      <c r="C55" t="s">
        <v>48</v>
      </c>
      <c r="D55" t="s">
        <v>49</v>
      </c>
      <c r="E55" t="s">
        <v>50</v>
      </c>
      <c r="F55" t="s">
        <v>68</v>
      </c>
      <c r="G55" t="s">
        <v>52</v>
      </c>
      <c r="H55" t="s">
        <v>40</v>
      </c>
      <c r="I55">
        <v>4</v>
      </c>
      <c r="J55" s="2">
        <v>175</v>
      </c>
      <c r="K55" s="3">
        <v>0</v>
      </c>
      <c r="L55" s="12">
        <f>VentasRawTable3[[#This Row],[Cantidad]]*VentasRawTable3[[#This Row],[Precio_Unitario]]*(1-VentasRawTable3[[#This Row],[Descuento]])</f>
        <v>700</v>
      </c>
    </row>
    <row r="56" spans="1:12">
      <c r="A56" t="s">
        <v>117</v>
      </c>
      <c r="B56" s="1">
        <v>46194</v>
      </c>
      <c r="C56" t="s">
        <v>48</v>
      </c>
      <c r="D56" t="s">
        <v>55</v>
      </c>
      <c r="E56" t="s">
        <v>31</v>
      </c>
      <c r="F56" t="s">
        <v>32</v>
      </c>
      <c r="G56" t="s">
        <v>57</v>
      </c>
      <c r="H56" t="s">
        <v>46</v>
      </c>
      <c r="I56">
        <v>5</v>
      </c>
      <c r="J56" s="2">
        <v>310</v>
      </c>
      <c r="K56" s="3">
        <v>0</v>
      </c>
      <c r="L56" s="12">
        <f>VentasRawTable3[[#This Row],[Cantidad]]*VentasRawTable3[[#This Row],[Precio_Unitario]]*(1-VentasRawTable3[[#This Row],[Descuento]])</f>
        <v>1550</v>
      </c>
    </row>
    <row r="57" spans="1:12">
      <c r="A57" t="s">
        <v>118</v>
      </c>
      <c r="B57" s="1">
        <v>46197</v>
      </c>
      <c r="C57" t="s">
        <v>29</v>
      </c>
      <c r="D57" t="s">
        <v>30</v>
      </c>
      <c r="E57" t="s">
        <v>37</v>
      </c>
      <c r="F57" t="s">
        <v>38</v>
      </c>
      <c r="G57" t="s">
        <v>60</v>
      </c>
      <c r="H57" t="s">
        <v>53</v>
      </c>
      <c r="I57">
        <v>1</v>
      </c>
      <c r="J57" s="2">
        <v>120</v>
      </c>
      <c r="K57" s="3">
        <v>0.05</v>
      </c>
      <c r="L57" s="12">
        <f>VentasRawTable3[[#This Row],[Cantidad]]*VentasRawTable3[[#This Row],[Precio_Unitario]]*(1-VentasRawTable3[[#This Row],[Descuento]])</f>
        <v>114</v>
      </c>
    </row>
    <row r="58" spans="1:12">
      <c r="A58" t="s">
        <v>119</v>
      </c>
      <c r="B58" s="1">
        <v>46176</v>
      </c>
      <c r="C58" t="s">
        <v>29</v>
      </c>
      <c r="D58" t="s">
        <v>36</v>
      </c>
      <c r="E58" t="s">
        <v>37</v>
      </c>
      <c r="F58" t="s">
        <v>44</v>
      </c>
      <c r="G58" t="s">
        <v>63</v>
      </c>
      <c r="H58" t="s">
        <v>34</v>
      </c>
      <c r="I58">
        <v>2</v>
      </c>
      <c r="J58" s="2">
        <v>95</v>
      </c>
      <c r="K58" s="3">
        <v>0.1</v>
      </c>
      <c r="L58" s="12">
        <f>VentasRawTable3[[#This Row],[Cantidad]]*VentasRawTable3[[#This Row],[Precio_Unitario]]*(1-VentasRawTable3[[#This Row],[Descuento]])</f>
        <v>171</v>
      </c>
    </row>
    <row r="59" spans="1:12">
      <c r="A59" t="s">
        <v>120</v>
      </c>
      <c r="B59" s="1">
        <v>46179</v>
      </c>
      <c r="C59" t="s">
        <v>42</v>
      </c>
      <c r="D59" t="s">
        <v>43</v>
      </c>
      <c r="E59" t="s">
        <v>50</v>
      </c>
      <c r="F59" t="s">
        <v>51</v>
      </c>
      <c r="G59" t="s">
        <v>66</v>
      </c>
      <c r="H59" t="s">
        <v>40</v>
      </c>
      <c r="I59">
        <v>3</v>
      </c>
      <c r="J59" s="2">
        <v>260</v>
      </c>
      <c r="K59" s="3">
        <v>0</v>
      </c>
      <c r="L59" s="12">
        <f>VentasRawTable3[[#This Row],[Cantidad]]*VentasRawTable3[[#This Row],[Precio_Unitario]]*(1-VentasRawTable3[[#This Row],[Descuento]])</f>
        <v>780</v>
      </c>
    </row>
    <row r="60" spans="1:12">
      <c r="A60" t="s">
        <v>121</v>
      </c>
      <c r="B60" s="1">
        <v>46182</v>
      </c>
      <c r="C60" t="s">
        <v>48</v>
      </c>
      <c r="D60" t="s">
        <v>49</v>
      </c>
      <c r="E60" t="s">
        <v>31</v>
      </c>
      <c r="F60" t="s">
        <v>56</v>
      </c>
      <c r="G60" t="s">
        <v>69</v>
      </c>
      <c r="H60" t="s">
        <v>46</v>
      </c>
      <c r="I60">
        <v>4</v>
      </c>
      <c r="J60" s="2">
        <v>230</v>
      </c>
      <c r="K60" s="3">
        <v>0</v>
      </c>
      <c r="L60" s="12">
        <f>VentasRawTable3[[#This Row],[Cantidad]]*VentasRawTable3[[#This Row],[Precio_Unitario]]*(1-VentasRawTable3[[#This Row],[Descuento]])</f>
        <v>920</v>
      </c>
    </row>
    <row r="61" spans="1:12">
      <c r="A61" t="s">
        <v>122</v>
      </c>
      <c r="B61" s="1">
        <v>46185</v>
      </c>
      <c r="C61" t="s">
        <v>48</v>
      </c>
      <c r="D61" t="s">
        <v>55</v>
      </c>
      <c r="E61" t="s">
        <v>31</v>
      </c>
      <c r="F61" t="s">
        <v>59</v>
      </c>
      <c r="G61" t="s">
        <v>71</v>
      </c>
      <c r="H61" t="s">
        <v>53</v>
      </c>
      <c r="I61">
        <v>5</v>
      </c>
      <c r="J61" s="2">
        <v>145</v>
      </c>
      <c r="K61" s="3">
        <v>0</v>
      </c>
      <c r="L61" s="12">
        <f>VentasRawTable3[[#This Row],[Cantidad]]*VentasRawTable3[[#This Row],[Precio_Unitario]]*(1-VentasRawTable3[[#This Row],[Descuento]])</f>
        <v>725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8387-80E0-4ABC-ABC3-7F8FB1611729}">
  <dimension ref="A3:B7"/>
  <sheetViews>
    <sheetView workbookViewId="0">
      <selection activeCell="I10" sqref="I10"/>
    </sheetView>
  </sheetViews>
  <sheetFormatPr baseColWidth="10" defaultRowHeight="14.4"/>
  <cols>
    <col min="1" max="1" width="16.5546875" bestFit="1" customWidth="1"/>
    <col min="2" max="2" width="20.77734375" bestFit="1" customWidth="1"/>
  </cols>
  <sheetData>
    <row r="3" spans="1:2">
      <c r="A3" s="13" t="s">
        <v>124</v>
      </c>
      <c r="B3" t="s">
        <v>126</v>
      </c>
    </row>
    <row r="4" spans="1:2">
      <c r="A4" s="14" t="s">
        <v>37</v>
      </c>
      <c r="B4" s="12">
        <v>7245.5</v>
      </c>
    </row>
    <row r="5" spans="1:2">
      <c r="A5" s="14" t="s">
        <v>50</v>
      </c>
      <c r="B5" s="12">
        <v>10009</v>
      </c>
    </row>
    <row r="6" spans="1:2">
      <c r="A6" s="14" t="s">
        <v>31</v>
      </c>
      <c r="B6" s="12">
        <v>14815</v>
      </c>
    </row>
    <row r="7" spans="1:2">
      <c r="A7" s="14" t="s">
        <v>125</v>
      </c>
      <c r="B7" s="12">
        <v>32069.5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9ECA-2B32-4354-9C06-CF1602F6EB05}">
  <dimension ref="A1:B8"/>
  <sheetViews>
    <sheetView topLeftCell="C1" workbookViewId="0">
      <selection activeCell="G27" sqref="G27"/>
    </sheetView>
  </sheetViews>
  <sheetFormatPr baseColWidth="10" defaultRowHeight="14.4"/>
  <cols>
    <col min="1" max="1" width="16.5546875" bestFit="1" customWidth="1"/>
    <col min="2" max="2" width="20.77734375" bestFit="1" customWidth="1"/>
  </cols>
  <sheetData>
    <row r="1" spans="1:2">
      <c r="A1" s="13" t="s">
        <v>124</v>
      </c>
      <c r="B1" t="s">
        <v>126</v>
      </c>
    </row>
    <row r="2" spans="1:2">
      <c r="A2" s="14" t="s">
        <v>127</v>
      </c>
      <c r="B2" s="12">
        <v>5940.75</v>
      </c>
    </row>
    <row r="3" spans="1:2">
      <c r="A3" s="14" t="s">
        <v>128</v>
      </c>
      <c r="B3" s="12">
        <v>5337.25</v>
      </c>
    </row>
    <row r="4" spans="1:2">
      <c r="A4" s="14" t="s">
        <v>129</v>
      </c>
      <c r="B4" s="12">
        <v>5006.75</v>
      </c>
    </row>
    <row r="5" spans="1:2">
      <c r="A5" s="14" t="s">
        <v>130</v>
      </c>
      <c r="B5" s="12">
        <v>5049.5</v>
      </c>
    </row>
    <row r="6" spans="1:2">
      <c r="A6" s="14" t="s">
        <v>131</v>
      </c>
      <c r="B6" s="12">
        <v>5057.5</v>
      </c>
    </row>
    <row r="7" spans="1:2">
      <c r="A7" s="14" t="s">
        <v>132</v>
      </c>
      <c r="B7" s="12">
        <v>5677.75</v>
      </c>
    </row>
    <row r="8" spans="1:2">
      <c r="A8" s="14" t="s">
        <v>125</v>
      </c>
      <c r="B8" s="12">
        <v>32069.5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31651-3215-4D62-A53C-F49C5186FC89}">
  <dimension ref="A3:B8"/>
  <sheetViews>
    <sheetView workbookViewId="0">
      <selection activeCell="A27" sqref="A27"/>
    </sheetView>
  </sheetViews>
  <sheetFormatPr baseColWidth="10" defaultRowHeight="14.4"/>
  <cols>
    <col min="1" max="1" width="16.5546875" bestFit="1" customWidth="1"/>
    <col min="2" max="2" width="20.77734375" bestFit="1" customWidth="1"/>
  </cols>
  <sheetData>
    <row r="3" spans="1:2">
      <c r="A3" s="13" t="s">
        <v>124</v>
      </c>
      <c r="B3" t="s">
        <v>126</v>
      </c>
    </row>
    <row r="4" spans="1:2">
      <c r="A4" s="14" t="s">
        <v>40</v>
      </c>
      <c r="B4" s="12">
        <v>8581.75</v>
      </c>
    </row>
    <row r="5" spans="1:2">
      <c r="A5" s="14" t="s">
        <v>34</v>
      </c>
      <c r="B5" s="12">
        <v>8065.75</v>
      </c>
    </row>
    <row r="6" spans="1:2">
      <c r="A6" s="14" t="s">
        <v>46</v>
      </c>
      <c r="B6" s="12">
        <v>8025.75</v>
      </c>
    </row>
    <row r="7" spans="1:2">
      <c r="A7" s="14" t="s">
        <v>53</v>
      </c>
      <c r="B7" s="12">
        <v>7396.25</v>
      </c>
    </row>
    <row r="8" spans="1:2">
      <c r="A8" s="14" t="s">
        <v>125</v>
      </c>
      <c r="B8" s="12">
        <v>32069.5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93E2-A0D3-4B62-A400-EA3FE1039918}">
  <dimension ref="A3:B9"/>
  <sheetViews>
    <sheetView workbookViewId="0">
      <selection activeCell="F22" sqref="F22"/>
    </sheetView>
  </sheetViews>
  <sheetFormatPr baseColWidth="10" defaultRowHeight="14.4"/>
  <cols>
    <col min="1" max="1" width="16.5546875" bestFit="1" customWidth="1"/>
    <col min="2" max="2" width="20.77734375" bestFit="1" customWidth="1"/>
  </cols>
  <sheetData>
    <row r="3" spans="1:2">
      <c r="A3" s="13" t="s">
        <v>124</v>
      </c>
      <c r="B3" t="s">
        <v>126</v>
      </c>
    </row>
    <row r="4" spans="1:2">
      <c r="A4" s="14" t="s">
        <v>55</v>
      </c>
      <c r="B4" s="12">
        <v>11187.5</v>
      </c>
    </row>
    <row r="5" spans="1:2">
      <c r="A5" s="14" t="s">
        <v>49</v>
      </c>
      <c r="B5" s="12">
        <v>8972</v>
      </c>
    </row>
    <row r="6" spans="1:2">
      <c r="A6" s="14" t="s">
        <v>43</v>
      </c>
      <c r="B6" s="12">
        <v>5968.5</v>
      </c>
    </row>
    <row r="7" spans="1:2">
      <c r="A7" s="14" t="s">
        <v>36</v>
      </c>
      <c r="B7" s="12">
        <v>3909</v>
      </c>
    </row>
    <row r="8" spans="1:2">
      <c r="A8" s="14" t="s">
        <v>30</v>
      </c>
      <c r="B8" s="12">
        <v>2032.5</v>
      </c>
    </row>
    <row r="9" spans="1:2">
      <c r="A9" s="14" t="s">
        <v>125</v>
      </c>
      <c r="B9" s="12">
        <v>32069.5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Guia_del_proyecto</vt:lpstr>
      <vt:lpstr>Ventas_Raw</vt:lpstr>
      <vt:lpstr>Ventas_Limpias</vt:lpstr>
      <vt:lpstr>Pivot_Categoria</vt:lpstr>
      <vt:lpstr>Pivot_Mensual</vt:lpstr>
      <vt:lpstr>Pivot_Vendedor</vt:lpstr>
      <vt:lpstr>Pivot_Ciudad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Navarro</dc:creator>
  <cp:lastModifiedBy>Miguel Navarro</cp:lastModifiedBy>
  <dcterms:created xsi:type="dcterms:W3CDTF">2026-08-23T02:53:19Z</dcterms:created>
  <dcterms:modified xsi:type="dcterms:W3CDTF">2026-08-23T16:16:28Z</dcterms:modified>
</cp:coreProperties>
</file>