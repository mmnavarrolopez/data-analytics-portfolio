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nav\Documents\Data_Analytics\data-analytics-portfolio\01_excel\02_formulas_repaso\"/>
    </mc:Choice>
  </mc:AlternateContent>
  <xr:revisionPtr revIDLastSave="0" documentId="13_ncr:1_{957D5551-CAA3-42F9-9600-3A6A6945EBB5}" xr6:coauthVersionLast="47" xr6:coauthVersionMax="47" xr10:uidLastSave="{00000000-0000-0000-0000-000000000000}"/>
  <bookViews>
    <workbookView xWindow="-108" yWindow="-108" windowWidth="23256" windowHeight="12456" xr2:uid="{867C6D99-EF6E-4239-A5C9-FB9EA77BB38E}"/>
  </bookViews>
  <sheets>
    <sheet name="Repas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2" i="1"/>
  <c r="L2" i="1"/>
  <c r="M2" i="1" s="1"/>
  <c r="K2" i="1"/>
  <c r="K3" i="1"/>
  <c r="K4" i="1"/>
  <c r="K5" i="1"/>
  <c r="K6" i="1"/>
  <c r="K7" i="1"/>
  <c r="M5" i="1"/>
  <c r="M6" i="1"/>
  <c r="M7" i="1"/>
  <c r="L3" i="1"/>
  <c r="M3" i="1" s="1"/>
  <c r="L4" i="1"/>
  <c r="M4" i="1" s="1"/>
  <c r="L5" i="1"/>
  <c r="L6" i="1"/>
  <c r="L7" i="1"/>
  <c r="J2" i="1"/>
  <c r="J3" i="1"/>
  <c r="J4" i="1"/>
  <c r="J5" i="1"/>
  <c r="J6" i="1"/>
  <c r="J7" i="1"/>
</calcChain>
</file>

<file path=xl/sharedStrings.xml><?xml version="1.0" encoding="utf-8"?>
<sst xmlns="http://schemas.openxmlformats.org/spreadsheetml/2006/main" count="47" uniqueCount="34">
  <si>
    <t>ID_Producto</t>
  </si>
  <si>
    <t>Producto</t>
  </si>
  <si>
    <t>Categoria</t>
  </si>
  <si>
    <t>Precio_Unitario</t>
  </si>
  <si>
    <t>PROD01</t>
  </si>
  <si>
    <t>Laptop Pro</t>
  </si>
  <si>
    <t>Tecnología</t>
  </si>
  <si>
    <t>PROD02</t>
  </si>
  <si>
    <t>Silla Ergonomica</t>
  </si>
  <si>
    <t>Oficina</t>
  </si>
  <si>
    <t>PROD03</t>
  </si>
  <si>
    <t>Escritorio Madera</t>
  </si>
  <si>
    <t>PROD04</t>
  </si>
  <si>
    <t>Monitor 27</t>
  </si>
  <si>
    <t>PROD05</t>
  </si>
  <si>
    <t>Teclado Mecanico</t>
  </si>
  <si>
    <t>ID_Venta</t>
  </si>
  <si>
    <t>Cantidad</t>
  </si>
  <si>
    <t>Cliente</t>
  </si>
  <si>
    <t>V-101</t>
  </si>
  <si>
    <t>Juan Perez</t>
  </si>
  <si>
    <t>V-102</t>
  </si>
  <si>
    <t>Maria Gomez</t>
  </si>
  <si>
    <t>V-103</t>
  </si>
  <si>
    <t>Carlos Ruiz</t>
  </si>
  <si>
    <t>V-104</t>
  </si>
  <si>
    <t>Ana Lopez</t>
  </si>
  <si>
    <t>V-105</t>
  </si>
  <si>
    <t>Pedro Rocha</t>
  </si>
  <si>
    <t>V-106</t>
  </si>
  <si>
    <t>Sofia Claros</t>
  </si>
  <si>
    <t>Total_Venta</t>
  </si>
  <si>
    <t>Ventas individuales realizó el cliente con compras mayores a 1 unidad</t>
  </si>
  <si>
    <t>Ingresos totales por la categoría 'Tecnología'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</si>
</sst>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0" fillId="0" borderId="10" xfId="0" applyBorder="1"/>
    <xf numFmtId="0" fontId="1" fillId="0" borderId="10" xfId="0" applyFont="1" applyBorder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91F45-EF9D-4223-889D-5376513F1C41}" name="Tabla1" displayName="Tabla1" ref="A1:D6" totalsRowShown="0" headerRowDxfId="12" headerRowBorderDxfId="18" tableBorderDxfId="19" totalsRowBorderDxfId="17">
  <autoFilter ref="A1:D6" xr:uid="{94A91F45-EF9D-4223-889D-5376513F1C41}"/>
  <tableColumns count="4">
    <tableColumn id="1" xr3:uid="{FD5974B2-2EC1-416E-9894-10F797D6AE17}" name="ID_Producto" dataDxfId="16"/>
    <tableColumn id="2" xr3:uid="{36A8E90B-78A1-4F8F-BF32-C813BD279110}" name="Producto" dataDxfId="15"/>
    <tableColumn id="3" xr3:uid="{EE5EA6E3-F9C2-44CA-80A7-19B31BCC887B}" name="Categoria" dataDxfId="14"/>
    <tableColumn id="4" xr3:uid="{0F1504FA-E0C5-4951-9566-4A48E0379B91}" name="Precio_Unitario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FF7BD9-9960-4E30-9BAF-C6ACC8328055}" name="Tabla2" displayName="Tabla2" ref="F1:M7" totalsRowShown="0" headerRowDxfId="11" headerRowBorderDxfId="9" tableBorderDxfId="10" totalsRowBorderDxfId="8">
  <autoFilter ref="F1:M7" xr:uid="{2BFF7BD9-9960-4E30-9BAF-C6ACC8328055}"/>
  <tableColumns count="8">
    <tableColumn id="1" xr3:uid="{06D7A973-ECE7-4499-9DF4-739A36A137C2}" name="ID_Venta" dataDxfId="7"/>
    <tableColumn id="2" xr3:uid="{33E50703-B0F4-4350-AA8B-6732B31274CF}" name="ID_Producto" dataDxfId="6"/>
    <tableColumn id="3" xr3:uid="{FBA502C3-8D9C-48D5-9E07-18AC87108814}" name="Cantidad" dataDxfId="5"/>
    <tableColumn id="4" xr3:uid="{9B942E5B-0B4E-40A2-980D-F1B82F7FF2F5}" name="Cliente" dataDxfId="4"/>
    <tableColumn id="5" xr3:uid="{BCFFE671-BD53-433B-951F-3FF569B983A5}" name="Producto" dataDxfId="3">
      <calculatedColumnFormula>VLOOKUP(G2, A:D, 2, FALSE)</calculatedColumnFormula>
    </tableColumn>
    <tableColumn id="8" xr3:uid="{47BE370C-8D10-4707-B55B-174ED61712D0}" name="Categoria" dataDxfId="2">
      <calculatedColumnFormula>VLOOKUP(G2, A:D, 3, FALSE)</calculatedColumnFormula>
    </tableColumn>
    <tableColumn id="6" xr3:uid="{C1957C25-8172-4A20-B8DF-31590908D873}" name="Precio_Unitario" dataDxfId="1">
      <calculatedColumnFormula>VLOOKUP(G2, A:D, 4, FALSE)</calculatedColumnFormula>
    </tableColumn>
    <tableColumn id="7" xr3:uid="{D9928F57-3665-492B-BE0A-B6080CBEF4C4}" name="Total_Venta" dataDxfId="0">
      <calculatedColumnFormula>H2*L2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7E9D-67D9-488A-B75A-3834BAD2EF0E}">
  <dimension ref="A1:P7"/>
  <sheetViews>
    <sheetView tabSelected="1" topLeftCell="F1" workbookViewId="0">
      <selection activeCell="H21" sqref="H21"/>
    </sheetView>
  </sheetViews>
  <sheetFormatPr baseColWidth="10" defaultRowHeight="14.4" x14ac:dyDescent="0.3"/>
  <cols>
    <col min="1" max="1" width="16.109375" customWidth="1"/>
    <col min="2" max="2" width="18.77734375" bestFit="1" customWidth="1"/>
    <col min="3" max="3" width="13.5546875" customWidth="1"/>
    <col min="4" max="4" width="19.109375" customWidth="1"/>
    <col min="6" max="6" width="13" customWidth="1"/>
    <col min="7" max="7" width="16.109375" customWidth="1"/>
    <col min="8" max="8" width="12.77734375" customWidth="1"/>
    <col min="9" max="9" width="14.109375" bestFit="1" customWidth="1"/>
    <col min="10" max="10" width="15.88671875" bestFit="1" customWidth="1"/>
    <col min="11" max="11" width="15.88671875" customWidth="1"/>
    <col min="12" max="12" width="19.5546875" bestFit="1" customWidth="1"/>
    <col min="13" max="13" width="16.109375" bestFit="1" customWidth="1"/>
    <col min="15" max="15" width="60.109375" bestFit="1" customWidth="1"/>
  </cols>
  <sheetData>
    <row r="1" spans="1:16" ht="15" thickBot="1" x14ac:dyDescent="0.35">
      <c r="A1" s="4" t="s">
        <v>0</v>
      </c>
      <c r="B1" s="5" t="s">
        <v>1</v>
      </c>
      <c r="C1" s="5" t="s">
        <v>2</v>
      </c>
      <c r="D1" s="6" t="s">
        <v>3</v>
      </c>
      <c r="F1" s="4" t="s">
        <v>16</v>
      </c>
      <c r="G1" s="5" t="s">
        <v>0</v>
      </c>
      <c r="H1" s="5" t="s">
        <v>17</v>
      </c>
      <c r="I1" s="6" t="s">
        <v>18</v>
      </c>
      <c r="J1" s="5" t="s">
        <v>1</v>
      </c>
      <c r="K1" s="5" t="s">
        <v>2</v>
      </c>
      <c r="L1" s="5" t="s">
        <v>3</v>
      </c>
      <c r="M1" s="5" t="s">
        <v>31</v>
      </c>
    </row>
    <row r="2" spans="1:16" ht="15" thickBot="1" x14ac:dyDescent="0.35">
      <c r="A2" s="2" t="s">
        <v>4</v>
      </c>
      <c r="B2" s="1" t="s">
        <v>5</v>
      </c>
      <c r="C2" s="1" t="s">
        <v>6</v>
      </c>
      <c r="D2" s="3">
        <v>1200</v>
      </c>
      <c r="F2" s="2" t="s">
        <v>19</v>
      </c>
      <c r="G2" s="1" t="s">
        <v>10</v>
      </c>
      <c r="H2" s="1">
        <v>2</v>
      </c>
      <c r="I2" s="3" t="s">
        <v>20</v>
      </c>
      <c r="J2" t="str">
        <f t="shared" ref="J2:J7" si="0">VLOOKUP(G2, A:D, 2, FALSE)</f>
        <v>Escritorio Madera</v>
      </c>
      <c r="K2" t="str">
        <f t="shared" ref="K2:K7" si="1">VLOOKUP(G2, A:D, 3, FALSE)</f>
        <v>Oficina</v>
      </c>
      <c r="L2">
        <f>VLOOKUP(G2, A:D, 4, FALSE)</f>
        <v>450</v>
      </c>
      <c r="M2">
        <f>H2*L2</f>
        <v>900</v>
      </c>
      <c r="O2" s="11" t="s">
        <v>33</v>
      </c>
      <c r="P2" s="10">
        <f>SUMIF(K:K, "Tecnología", M:M)</f>
        <v>4220</v>
      </c>
    </row>
    <row r="3" spans="1:16" ht="15" thickBot="1" x14ac:dyDescent="0.35">
      <c r="A3" s="2" t="s">
        <v>7</v>
      </c>
      <c r="B3" s="1" t="s">
        <v>8</v>
      </c>
      <c r="C3" s="1" t="s">
        <v>9</v>
      </c>
      <c r="D3" s="3">
        <v>250</v>
      </c>
      <c r="F3" s="2" t="s">
        <v>21</v>
      </c>
      <c r="G3" s="1" t="s">
        <v>4</v>
      </c>
      <c r="H3" s="1">
        <v>1</v>
      </c>
      <c r="I3" s="3" t="s">
        <v>22</v>
      </c>
      <c r="J3" t="str">
        <f t="shared" si="0"/>
        <v>Laptop Pro</v>
      </c>
      <c r="K3" t="str">
        <f t="shared" si="1"/>
        <v>Tecnología</v>
      </c>
      <c r="L3">
        <f t="shared" ref="L2:L7" si="2">VLOOKUP(G3, A:D, 4, FALSE)</f>
        <v>1200</v>
      </c>
      <c r="M3">
        <f t="shared" ref="M2:M7" si="3">H3*L3</f>
        <v>1200</v>
      </c>
      <c r="O3" s="11" t="s">
        <v>32</v>
      </c>
      <c r="P3" s="10">
        <f>COUNTIF(H2:H7, "&gt;1")</f>
        <v>4</v>
      </c>
    </row>
    <row r="4" spans="1:16" ht="15" thickBot="1" x14ac:dyDescent="0.35">
      <c r="A4" s="2" t="s">
        <v>10</v>
      </c>
      <c r="B4" s="1" t="s">
        <v>11</v>
      </c>
      <c r="C4" s="1" t="s">
        <v>9</v>
      </c>
      <c r="D4" s="3">
        <v>450</v>
      </c>
      <c r="F4" s="2" t="s">
        <v>23</v>
      </c>
      <c r="G4" s="1" t="s">
        <v>14</v>
      </c>
      <c r="H4" s="1">
        <v>4</v>
      </c>
      <c r="I4" s="3" t="s">
        <v>24</v>
      </c>
      <c r="J4" t="str">
        <f t="shared" si="0"/>
        <v>Teclado Mecanico</v>
      </c>
      <c r="K4" t="str">
        <f t="shared" si="1"/>
        <v>Tecnología</v>
      </c>
      <c r="L4">
        <f t="shared" si="2"/>
        <v>80</v>
      </c>
      <c r="M4">
        <f t="shared" si="3"/>
        <v>320</v>
      </c>
    </row>
    <row r="5" spans="1:16" ht="15" thickBot="1" x14ac:dyDescent="0.35">
      <c r="A5" s="2" t="s">
        <v>12</v>
      </c>
      <c r="B5" s="1" t="s">
        <v>13</v>
      </c>
      <c r="C5" s="1" t="s">
        <v>6</v>
      </c>
      <c r="D5" s="3">
        <v>300</v>
      </c>
      <c r="F5" s="2" t="s">
        <v>25</v>
      </c>
      <c r="G5" s="1" t="s">
        <v>7</v>
      </c>
      <c r="H5" s="1">
        <v>3</v>
      </c>
      <c r="I5" s="3" t="s">
        <v>26</v>
      </c>
      <c r="J5" t="str">
        <f t="shared" si="0"/>
        <v>Silla Ergonomica</v>
      </c>
      <c r="K5" t="str">
        <f t="shared" si="1"/>
        <v>Oficina</v>
      </c>
      <c r="L5">
        <f t="shared" si="2"/>
        <v>250</v>
      </c>
      <c r="M5">
        <f t="shared" si="3"/>
        <v>750</v>
      </c>
    </row>
    <row r="6" spans="1:16" ht="15" thickBot="1" x14ac:dyDescent="0.35">
      <c r="A6" s="7" t="s">
        <v>14</v>
      </c>
      <c r="B6" s="8" t="s">
        <v>15</v>
      </c>
      <c r="C6" s="8" t="s">
        <v>6</v>
      </c>
      <c r="D6" s="9">
        <v>80</v>
      </c>
      <c r="F6" s="2" t="s">
        <v>27</v>
      </c>
      <c r="G6" s="1" t="s">
        <v>4</v>
      </c>
      <c r="H6" s="1">
        <v>2</v>
      </c>
      <c r="I6" s="3" t="s">
        <v>28</v>
      </c>
      <c r="J6" t="str">
        <f t="shared" si="0"/>
        <v>Laptop Pro</v>
      </c>
      <c r="K6" t="str">
        <f t="shared" si="1"/>
        <v>Tecnología</v>
      </c>
      <c r="L6">
        <f t="shared" si="2"/>
        <v>1200</v>
      </c>
      <c r="M6">
        <f t="shared" si="3"/>
        <v>2400</v>
      </c>
    </row>
    <row r="7" spans="1:16" x14ac:dyDescent="0.3">
      <c r="F7" s="7" t="s">
        <v>29</v>
      </c>
      <c r="G7" s="8" t="s">
        <v>12</v>
      </c>
      <c r="H7" s="8">
        <v>1</v>
      </c>
      <c r="I7" s="9" t="s">
        <v>30</v>
      </c>
      <c r="J7" t="str">
        <f t="shared" si="0"/>
        <v>Monitor 27</v>
      </c>
      <c r="K7" t="str">
        <f t="shared" si="1"/>
        <v>Tecnología</v>
      </c>
      <c r="L7">
        <f t="shared" si="2"/>
        <v>300</v>
      </c>
      <c r="M7">
        <f t="shared" si="3"/>
        <v>300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Repaso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Navarro</dc:creator>
  <cp:lastModifiedBy>Miguel Navarro</cp:lastModifiedBy>
  <dcterms:created xsi:type="dcterms:W3CDTF">2026-08-23T20:36:02Z</dcterms:created>
  <dcterms:modified xsi:type="dcterms:W3CDTF">2026-08-24T00:33:06Z</dcterms:modified>
</cp:coreProperties>
</file>